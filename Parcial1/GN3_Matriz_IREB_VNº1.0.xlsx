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 - " sheetId="2" r:id="rId5"/>
    <sheet state="visible" name="RECOMENDACIONES - CU001.0" sheetId="3" r:id="rId6"/>
  </sheets>
  <definedNames/>
  <calcPr/>
  <extLst>
    <ext uri="GoogleSheetsCustomDataVersion2">
      <go:sheetsCustomData xmlns:go="http://customooxmlschemas.google.com/" r:id="rId7" roundtripDataChecksum="yi53KvavWa7RfXD4/kIQKxOikdj7dRi4RxZljPVrtT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======
ID#AAAB5ZQHncw
jeny ruiz    (2026-04-14 16:55:43)
Es importante ingresar el archivo plano en formato excel para el cliente y el desarrollador</t>
      </text>
    </comment>
    <comment authorId="0" ref="C16">
      <text>
        <t xml:space="preserve">======
ID#AAAB5ZQHnco
jeny ruiz    (2026-04-14 16:55:43)
Puede ser implementado  y desarrollado en las condiciones actuales(tiempo, Presupuest,, orgtanizaciòn, ect)</t>
      </text>
    </comment>
    <comment authorId="0" ref="I9">
      <text>
        <t xml:space="preserve">======
ID#AAAB5ZQHncc
jeny ruiz    (2026-04-14 16:55:43)
Es importante ingresar el archivo plano en formato excel para el cliente y el desarrollador</t>
      </text>
    </comment>
    <comment authorId="0" ref="C13">
      <text>
        <t xml:space="preserve">======
ID#AAAB5ZQHncg
jeny ruiz    (2026-04-14 16:55:43)
Refleja las espectativas  del implicado</t>
      </text>
    </comment>
    <comment authorId="0" ref="K7">
      <text>
        <t xml:space="preserve">======
ID#AAAB5ZQHncU
jeny ruiz    (2026-04-14 16:55:43)
jeny ruiz:
Posterior a la actualización, se guardaran automáticamente el nombre de usuario, fecha, hora, registro antiguo, registro nuevo.</t>
      </text>
    </comment>
    <comment authorId="0" ref="F7">
      <text>
        <t xml:space="preserve">======
ID#AAAB5ZQHncQ
jeny ruiz    (2026-04-14 16:55:43)
La información contenida en memoria se utiliza para actualizar los campos de la base de datos.</t>
      </text>
    </comment>
    <comment authorId="0" ref="C17">
      <text>
        <t xml:space="preserve">======
ID#AAAB5ZQHncM
jeny ruiz    (2026-04-14 16:55:43)
El origen del requisito y sus relaciones con otros requisitos  están claros.</t>
      </text>
    </comment>
    <comment authorId="0" ref="J7">
      <text>
        <t xml:space="preserve">======
ID#AAAB5ZQHncI
jeny ruiz    (2026-04-14 16:55:43)
Control del nivel de acuedo entre las partes Cliente y Desarrollador</t>
      </text>
    </comment>
    <comment authorId="0" ref="I7">
      <text>
        <t xml:space="preserve">======
ID#AAAB5ZQHncE
jeny ruiz    (2026-04-14 16:55:43)
Se guarda en un archivo Excel los registros que dieron un problema en la actualización.</t>
      </text>
    </comment>
    <comment authorId="0" ref="G7">
      <text>
        <t xml:space="preserve">======
ID#AAAB5ZQHncA
jeny ruiz    (2026-04-14 16:55:43)
Control del nivel de acuedo entre las partes Cliente y Desarrollador</t>
      </text>
    </comment>
    <comment authorId="0" ref="C14">
      <text>
        <t xml:space="preserve">======
ID#AAAB5ZN294k
jeny ruiz    (2026-04-14 16:55:43)
Sin contradicciones</t>
      </text>
    </comment>
    <comment authorId="0" ref="C9">
      <text>
        <t xml:space="preserve">======
ID#AAAB5ZN294g
jeny ruiz    (2026-04-14 16:55:43)
Todos los interesados reconocen que el  requisito es correcto y relevante</t>
      </text>
    </comment>
    <comment authorId="0" ref="C18">
      <text>
        <t xml:space="preserve">======
ID#AAAB5ZN294Y
jeny ruiz    (2026-04-14 16:55:43)
Trata todos los asuntos relevantes</t>
      </text>
    </comment>
    <comment authorId="0" ref="C11">
      <text>
        <t xml:space="preserve">======
ID#AAAB5ZN294c
jeny ruiz    (2026-04-14 16:55:43)
Todos los lectores comprenden de la misma manera, sólo una interpretación</t>
      </text>
    </comment>
    <comment authorId="0" ref="C15">
      <text>
        <t xml:space="preserve">======
ID#AAAB5ZN294U
jeny ruiz    (2026-04-14 16:55:43)
Su cumplimiento o no cumplimiento puede der probado con un esfuerzo razonable</t>
      </text>
    </comment>
    <comment authorId="0" ref="C19">
      <text>
        <t xml:space="preserve">======
ID#AAAB3RugzZg
jeny ruiz    (2026-04-14 16:55:43)
Para todos los interesados dependiendo  de la fase del proyecto podrían estar involucrados  distintos implicados,(Glosario de tèrminos)</t>
      </text>
    </comment>
    <comment authorId="0" ref="C10">
      <text>
        <t xml:space="preserve">======
ID#AAAB3RugzZk
jeny ruiz    (2026-04-14 16:55:43)
Ponderado por importancia o prioridad</t>
      </text>
    </comment>
    <comment authorId="0" ref="C12">
      <text>
        <t xml:space="preserve">======
ID#AAAB3RugzZc
jeny ruiz    (2026-04-14 16:55:43)
Toda nueva información  ha sido incorporada</t>
      </text>
    </comment>
    <comment authorId="0" ref="F9">
      <text>
        <t xml:space="preserve">======
ID#AAAB3RugzZU
jeny ruiz    (2026-04-14 16:55:43)
Es importante ingresar el archivo plano en formato excel para el cliente y el desarrollador</t>
      </text>
    </comment>
    <comment authorId="0" ref="E7">
      <text>
        <t xml:space="preserve">======
ID#AAAB3RugzZQ
jeny ruiz    (2026-04-14 16:55:43)
Control del nivel de acuedo entre las partes Cliente y Desarrollador</t>
      </text>
    </comment>
  </commentList>
  <extLst>
    <ext uri="GoogleSheetsCustomDataVersion2">
      <go:sheetsCustomData xmlns:go="http://customooxmlschemas.google.com/" r:id="rId1" roundtripDataSignature="AMtx7mgRFa+pyYA6t5Vvd4QTeABeM7or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ID#AAAB5ZQHnc4
ESPE    (2026-04-14 16:55:43)
CORRECCION</t>
      </text>
    </comment>
    <comment authorId="0" ref="B9">
      <text>
        <t xml:space="preserve">======
ID#AAAB5ZQHnc0
ESPE    (2026-04-14 16:55:43)
COMPLETITUD REQUISITO INDIVIDUAL</t>
      </text>
    </comment>
    <comment authorId="0" ref="B15">
      <text>
        <t xml:space="preserve">======
ID#AAAB5ZQHncs
ESPE    (2026-04-14 16:55:43)
NECESIDAD</t>
      </text>
    </comment>
    <comment authorId="0" ref="B14">
      <text>
        <t xml:space="preserve">======
ID#AAAB5ZQHnck
ESPE    (2026-04-14 16:55:43)
CONSISTENCIA</t>
      </text>
    </comment>
    <comment authorId="0" ref="B8">
      <text>
        <t xml:space="preserve">======
ID#AAAB5ZQHncY
ESPE    (2026-04-14 16:55:43)
COMPLETITUD DOCUMENTO</t>
      </text>
    </comment>
    <comment authorId="0" ref="B12">
      <text>
        <t xml:space="preserve">======
ID#AAAB5ZQHnb8
ESPE    (2026-04-14 16:55:43)
TRAZABILIDAD</t>
      </text>
    </comment>
    <comment authorId="0" ref="B16">
      <text>
        <t xml:space="preserve">======
ID#AAAB5ZQHnb4
ESPE    (2026-04-14 16:55:43)
verificable</t>
      </text>
    </comment>
    <comment authorId="0" ref="B10">
      <text>
        <t xml:space="preserve">======
ID#AAAB3RugzZo
ESPE    (2026-04-14 16:55:43)
TRAZABILIDAD</t>
      </text>
    </comment>
    <comment authorId="0" ref="B11">
      <text>
        <t xml:space="preserve">======
ID#AAAB3RugzZY
ESPE    (2026-04-14 16:55:43)
trazabilidad</t>
      </text>
    </comment>
  </commentList>
  <extLst>
    <ext uri="GoogleSheetsCustomDataVersion2">
      <go:sheetsCustomData xmlns:go="http://customooxmlschemas.google.com/" r:id="rId1" roundtripDataSignature="AMtx7mgSUbfJF4Ut2Nwf2dqzbwZp44q6vQ=="/>
    </ext>
  </extLst>
</comments>
</file>

<file path=xl/sharedStrings.xml><?xml version="1.0" encoding="utf-8"?>
<sst xmlns="http://schemas.openxmlformats.org/spreadsheetml/2006/main" count="136" uniqueCount="83">
  <si>
    <t>MATRIZ PARA COMPROBACIÓN REQUERIMIENTOS DE CALIDAD DE PROYECTO ACADEMICO</t>
  </si>
  <si>
    <t>SISTEMA:</t>
  </si>
  <si>
    <t xml:space="preserve">SISTEMA DE GESTION DE GESTION Y CONTROL DE VIAJES </t>
  </si>
  <si>
    <t>Requerimientos  Funcionales</t>
  </si>
  <si>
    <t>Nº</t>
  </si>
  <si>
    <t>CRITERIOS DE CALIDAD (Documento/Requerimientos)</t>
  </si>
  <si>
    <t>Status
Nivel de Acuerdo</t>
  </si>
  <si>
    <t xml:space="preserve">
RF1.1 Iniciar sesión</t>
  </si>
  <si>
    <t>RF - 04 Gestionar transportistas</t>
  </si>
  <si>
    <t>RF - 05 Gestionar Viajes</t>
  </si>
  <si>
    <t xml:space="preserve">RF - 06 Monitorear Viajes </t>
  </si>
  <si>
    <t>Agreed</t>
  </si>
  <si>
    <t>OK</t>
  </si>
  <si>
    <t>Entrevista presencial, Minuta de la entrevista, Historias de usuario</t>
  </si>
  <si>
    <t>1. Minuta revisada y firmada
2. Entrevista presencial</t>
  </si>
  <si>
    <t>1. Minuta revisada y frimada
2. Entrevista precencial</t>
  </si>
  <si>
    <t xml:space="preserve">1. Entrevista presencial
2.Minuta de la entrevista firmada
</t>
  </si>
  <si>
    <t>Ranked</t>
  </si>
  <si>
    <t>Los casos de uso se encuentran enumerados, lo que establece un orden, sin embargo no se especifica un criterio formal de priorización.</t>
  </si>
  <si>
    <t>NOK</t>
  </si>
  <si>
    <t>1. No se especifica prioridad</t>
  </si>
  <si>
    <t>1. No se especifica un nivel de prioridad.</t>
  </si>
  <si>
    <t>Unambiguos</t>
  </si>
  <si>
    <t>Lenguaje claro</t>
  </si>
  <si>
    <t>1. Rdaccion clara y ordenada en el SRS
2. El tutor y el equipo entienden de igual manera el caso de uso</t>
  </si>
  <si>
    <t xml:space="preserve">1. Redacción clara y ordenada en el srs 
2. Todas las personas involucradas dentro del proyecto entienden los casos de uso </t>
  </si>
  <si>
    <t xml:space="preserve">1. Lenguaje claro y redacción concisa.
2. Todos los miembros del grupo lo entienden.
 </t>
  </si>
  <si>
    <t>Valid and up-to date</t>
  </si>
  <si>
    <t>1.  Toda nueva retoralimentacion se detuvo</t>
  </si>
  <si>
    <t xml:space="preserve">1. No se tomo en cuenta la retroalimentacion luego de la ultima revisión.
</t>
  </si>
  <si>
    <t xml:space="preserve">1. No se consideró la retroalimentación del revisor del SRS.
2. No se tomó en cuenta feedback del cliente. </t>
  </si>
  <si>
    <t>Correct</t>
  </si>
  <si>
    <t>1. Falta la segunda revision con el cliente</t>
  </si>
  <si>
    <t>1. Si refleja las espectativas de los implicados</t>
  </si>
  <si>
    <t>Consisten</t>
  </si>
  <si>
    <t>1. El SRS es consistente y</t>
  </si>
  <si>
    <t>1. No tiene contradicciones</t>
  </si>
  <si>
    <t>Verifiable</t>
  </si>
  <si>
    <t>Realizable</t>
  </si>
  <si>
    <t>Traceable</t>
  </si>
  <si>
    <t>Complete</t>
  </si>
  <si>
    <t>Understandability</t>
  </si>
  <si>
    <t>Sistema De Gestión De Crianza De Conejos (Hoptolt)</t>
  </si>
  <si>
    <t>FECHA:</t>
  </si>
  <si>
    <t>AUTOR:</t>
  </si>
  <si>
    <t xml:space="preserve">Darwin Panchez, José Proaño, Cristian Robalino </t>
  </si>
  <si>
    <t>REQUERIMIENTOS EVALUADOS :</t>
  </si>
  <si>
    <t>CU001.3 Gestionar Datos de conejos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</si>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</sst>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7" fillId="3" fontId="11" numFmtId="0" xfId="0" applyAlignment="1" applyBorder="1" applyFont="1">
      <alignment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center" vertical="center"/>
    </xf>
    <xf borderId="12" fillId="7" fontId="14" numFmtId="0" xfId="0" applyAlignment="1" applyBorder="1" applyFill="1" applyFont="1">
      <alignment horizontal="center" vertical="center"/>
    </xf>
    <xf borderId="14" fillId="7" fontId="14" numFmtId="0" xfId="0" applyAlignment="1" applyBorder="1" applyFont="1">
      <alignment horizontal="center" vertical="center"/>
    </xf>
    <xf borderId="15" fillId="7" fontId="1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7" fillId="8" fontId="16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3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59751013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  <col customWidth="1" min="12" max="12" width="11.29"/>
    <col customWidth="1" min="13" max="13" width="43.14"/>
    <col customWidth="1" min="14" max="14" width="11.29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/>
      <c r="H7" s="13"/>
      <c r="I7" s="12" t="s">
        <v>8</v>
      </c>
      <c r="J7" s="11"/>
      <c r="K7" s="12" t="s">
        <v>9</v>
      </c>
      <c r="L7" s="11"/>
      <c r="M7" s="12" t="s">
        <v>10</v>
      </c>
      <c r="N7" s="11"/>
    </row>
    <row r="8" ht="60.0" customHeight="1">
      <c r="B8" s="14"/>
      <c r="C8" s="15"/>
      <c r="D8" s="16"/>
      <c r="E8" s="14"/>
      <c r="F8" s="14"/>
      <c r="G8" s="14"/>
      <c r="H8" s="13"/>
      <c r="I8" s="14"/>
      <c r="J8" s="14"/>
      <c r="K8" s="14"/>
      <c r="L8" s="14"/>
      <c r="M8" s="14"/>
      <c r="N8" s="14"/>
    </row>
    <row r="9" ht="30.0" customHeight="1">
      <c r="B9" s="17">
        <v>1.0</v>
      </c>
      <c r="C9" s="18" t="s">
        <v>11</v>
      </c>
      <c r="D9" s="7"/>
      <c r="E9" s="19" t="s">
        <v>12</v>
      </c>
      <c r="F9" s="20" t="s">
        <v>13</v>
      </c>
      <c r="G9" s="21" t="s">
        <v>12</v>
      </c>
      <c r="H9" s="22"/>
      <c r="I9" s="20" t="s">
        <v>14</v>
      </c>
      <c r="J9" s="21" t="s">
        <v>12</v>
      </c>
      <c r="K9" s="20" t="s">
        <v>15</v>
      </c>
      <c r="L9" s="19"/>
      <c r="M9" s="20" t="s">
        <v>16</v>
      </c>
      <c r="N9" s="21" t="s">
        <v>12</v>
      </c>
    </row>
    <row r="10">
      <c r="B10" s="17">
        <v>2.0</v>
      </c>
      <c r="C10" s="18" t="s">
        <v>17</v>
      </c>
      <c r="D10" s="7"/>
      <c r="E10" s="19" t="s">
        <v>12</v>
      </c>
      <c r="F10" s="23" t="s">
        <v>18</v>
      </c>
      <c r="G10" s="24" t="s">
        <v>19</v>
      </c>
      <c r="I10" s="23" t="s">
        <v>20</v>
      </c>
      <c r="J10" s="24" t="s">
        <v>19</v>
      </c>
      <c r="K10" s="23" t="s">
        <v>21</v>
      </c>
      <c r="L10" s="19"/>
      <c r="M10" s="23">
        <v>1.0</v>
      </c>
      <c r="N10" s="19"/>
    </row>
    <row r="11">
      <c r="B11" s="17">
        <v>3.0</v>
      </c>
      <c r="C11" s="18" t="s">
        <v>22</v>
      </c>
      <c r="D11" s="7"/>
      <c r="E11" s="19" t="s">
        <v>12</v>
      </c>
      <c r="F11" s="23" t="s">
        <v>23</v>
      </c>
      <c r="G11" s="21" t="s">
        <v>12</v>
      </c>
      <c r="I11" s="23" t="s">
        <v>24</v>
      </c>
      <c r="J11" s="21" t="s">
        <v>12</v>
      </c>
      <c r="K11" s="23" t="s">
        <v>25</v>
      </c>
      <c r="L11" s="19"/>
      <c r="M11" s="23" t="s">
        <v>26</v>
      </c>
      <c r="N11" s="21" t="s">
        <v>12</v>
      </c>
    </row>
    <row r="12" ht="60.0" customHeight="1">
      <c r="B12" s="17">
        <v>4.0</v>
      </c>
      <c r="C12" s="18" t="s">
        <v>27</v>
      </c>
      <c r="D12" s="7"/>
      <c r="E12" s="19" t="s">
        <v>12</v>
      </c>
      <c r="F12" s="25"/>
      <c r="G12" s="24" t="s">
        <v>19</v>
      </c>
      <c r="I12" s="26" t="s">
        <v>28</v>
      </c>
      <c r="J12" s="27"/>
      <c r="K12" s="26" t="s">
        <v>29</v>
      </c>
      <c r="L12" s="27"/>
      <c r="M12" s="26" t="s">
        <v>30</v>
      </c>
      <c r="N12" s="24" t="s">
        <v>19</v>
      </c>
    </row>
    <row r="13" ht="33.75" customHeight="1">
      <c r="B13" s="17">
        <v>5.0</v>
      </c>
      <c r="C13" s="18" t="s">
        <v>31</v>
      </c>
      <c r="D13" s="7"/>
      <c r="E13" s="19" t="s">
        <v>12</v>
      </c>
      <c r="F13" s="25"/>
      <c r="G13" s="24" t="s">
        <v>19</v>
      </c>
      <c r="I13" s="26" t="s">
        <v>32</v>
      </c>
      <c r="J13" s="19"/>
      <c r="K13" s="25"/>
      <c r="L13" s="19"/>
      <c r="M13" s="26" t="s">
        <v>33</v>
      </c>
      <c r="N13" s="21" t="s">
        <v>12</v>
      </c>
    </row>
    <row r="14" ht="22.5" customHeight="1">
      <c r="B14" s="17">
        <v>6.0</v>
      </c>
      <c r="C14" s="18" t="s">
        <v>34</v>
      </c>
      <c r="D14" s="7"/>
      <c r="E14" s="19" t="s">
        <v>12</v>
      </c>
      <c r="F14" s="25"/>
      <c r="G14" s="28" t="s">
        <v>12</v>
      </c>
      <c r="I14" s="26" t="s">
        <v>35</v>
      </c>
      <c r="J14" s="27"/>
      <c r="K14" s="25"/>
      <c r="L14" s="27"/>
      <c r="M14" s="26" t="s">
        <v>36</v>
      </c>
      <c r="N14" s="27"/>
    </row>
    <row r="15" ht="24.75" customHeight="1">
      <c r="B15" s="17">
        <v>7.0</v>
      </c>
      <c r="C15" s="18" t="s">
        <v>37</v>
      </c>
      <c r="D15" s="7"/>
      <c r="E15" s="27" t="s">
        <v>19</v>
      </c>
      <c r="F15" s="25"/>
      <c r="G15" s="27"/>
      <c r="I15" s="25"/>
      <c r="J15" s="27"/>
      <c r="K15" s="25"/>
      <c r="L15" s="27"/>
      <c r="M15" s="25"/>
      <c r="N15" s="27"/>
    </row>
    <row r="16" ht="22.5" customHeight="1">
      <c r="B16" s="17">
        <v>8.0</v>
      </c>
      <c r="C16" s="18" t="s">
        <v>38</v>
      </c>
      <c r="D16" s="7"/>
      <c r="E16" s="27" t="s">
        <v>19</v>
      </c>
      <c r="F16" s="25"/>
      <c r="G16" s="27"/>
      <c r="I16" s="25"/>
      <c r="J16" s="27"/>
      <c r="K16" s="25"/>
      <c r="L16" s="27"/>
      <c r="M16" s="25"/>
      <c r="N16" s="27"/>
    </row>
    <row r="17" ht="21.75" customHeight="1">
      <c r="B17" s="17">
        <v>9.0</v>
      </c>
      <c r="C17" s="18" t="s">
        <v>39</v>
      </c>
      <c r="D17" s="7"/>
      <c r="E17" s="19" t="s">
        <v>12</v>
      </c>
      <c r="F17" s="29"/>
      <c r="G17" s="19"/>
      <c r="I17" s="29"/>
      <c r="J17" s="19"/>
      <c r="K17" s="29"/>
      <c r="L17" s="19"/>
      <c r="M17" s="29"/>
      <c r="N17" s="19"/>
    </row>
    <row r="18" ht="20.25" customHeight="1">
      <c r="B18" s="17">
        <v>10.0</v>
      </c>
      <c r="C18" s="18" t="s">
        <v>40</v>
      </c>
      <c r="D18" s="7"/>
      <c r="E18" s="19" t="s">
        <v>12</v>
      </c>
      <c r="F18" s="25"/>
      <c r="G18" s="19"/>
      <c r="I18" s="25"/>
      <c r="J18" s="19"/>
      <c r="K18" s="25"/>
      <c r="L18" s="19"/>
      <c r="M18" s="25"/>
      <c r="N18" s="19"/>
    </row>
    <row r="19" ht="27.75" customHeight="1">
      <c r="B19" s="17">
        <v>11.0</v>
      </c>
      <c r="C19" s="30" t="s">
        <v>41</v>
      </c>
      <c r="D19" s="7"/>
      <c r="E19" s="19" t="s">
        <v>12</v>
      </c>
      <c r="F19" s="25"/>
      <c r="G19" s="19"/>
      <c r="I19" s="25"/>
      <c r="J19" s="19"/>
      <c r="K19" s="25"/>
      <c r="L19" s="19"/>
      <c r="M19" s="25"/>
      <c r="N19" s="19"/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7:G8"/>
    <mergeCell ref="I7:I8"/>
    <mergeCell ref="J7:J8"/>
    <mergeCell ref="K7:K8"/>
    <mergeCell ref="L7:L8"/>
    <mergeCell ref="M7:M8"/>
    <mergeCell ref="N7:N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25.57"/>
    <col customWidth="1" min="4" max="24" width="10.71"/>
  </cols>
  <sheetData>
    <row r="1" ht="51.0" customHeight="1">
      <c r="A1" s="31"/>
      <c r="B1" s="32" t="s">
        <v>1</v>
      </c>
      <c r="C1" s="33" t="s">
        <v>42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B2" s="34" t="s">
        <v>43</v>
      </c>
      <c r="C2" s="35">
        <v>45777.0</v>
      </c>
    </row>
    <row r="3" ht="14.25" customHeight="1">
      <c r="B3" s="34" t="s">
        <v>44</v>
      </c>
      <c r="C3" s="36" t="s">
        <v>45</v>
      </c>
    </row>
    <row r="4" ht="14.25" customHeight="1">
      <c r="B4" s="34" t="s">
        <v>46</v>
      </c>
      <c r="C4" s="36" t="s">
        <v>47</v>
      </c>
    </row>
    <row r="5" ht="14.25" customHeight="1"/>
    <row r="6">
      <c r="A6" s="37" t="s">
        <v>48</v>
      </c>
    </row>
    <row r="7" ht="15.0" customHeight="1">
      <c r="A7" s="38" t="s">
        <v>49</v>
      </c>
      <c r="B7" s="39" t="s">
        <v>50</v>
      </c>
      <c r="C7" s="39" t="s">
        <v>51</v>
      </c>
      <c r="D7" s="40" t="s">
        <v>52</v>
      </c>
    </row>
    <row r="8" ht="14.25" customHeight="1">
      <c r="A8" s="41">
        <v>1.0</v>
      </c>
      <c r="B8" s="42" t="s">
        <v>53</v>
      </c>
      <c r="C8" s="43" t="s">
        <v>54</v>
      </c>
      <c r="D8" s="44"/>
    </row>
    <row r="9" ht="14.25" customHeight="1">
      <c r="A9" s="41">
        <v>2.0</v>
      </c>
      <c r="B9" s="42" t="s">
        <v>55</v>
      </c>
      <c r="C9" s="43" t="s">
        <v>54</v>
      </c>
      <c r="D9" s="44"/>
    </row>
    <row r="10" ht="14.25" customHeight="1">
      <c r="A10" s="41">
        <v>3.0</v>
      </c>
      <c r="B10" s="42" t="s">
        <v>56</v>
      </c>
      <c r="C10" s="43" t="s">
        <v>54</v>
      </c>
      <c r="D10" s="44"/>
    </row>
    <row r="11" ht="14.25" customHeight="1">
      <c r="A11" s="41">
        <v>4.0</v>
      </c>
      <c r="B11" s="42" t="s">
        <v>57</v>
      </c>
      <c r="C11" s="43" t="s">
        <v>54</v>
      </c>
      <c r="D11" s="44"/>
    </row>
    <row r="12" ht="14.25" customHeight="1">
      <c r="A12" s="41">
        <v>5.0</v>
      </c>
      <c r="B12" s="42" t="s">
        <v>58</v>
      </c>
      <c r="C12" s="43" t="s">
        <v>54</v>
      </c>
      <c r="D12" s="44"/>
    </row>
    <row r="13" ht="14.25" customHeight="1">
      <c r="A13" s="41">
        <v>6.0</v>
      </c>
      <c r="B13" s="42" t="s">
        <v>59</v>
      </c>
      <c r="C13" s="43" t="s">
        <v>54</v>
      </c>
      <c r="D13" s="44"/>
    </row>
    <row r="14" ht="14.25" customHeight="1">
      <c r="A14" s="41">
        <v>7.0</v>
      </c>
      <c r="B14" s="42" t="s">
        <v>60</v>
      </c>
      <c r="C14" s="43" t="s">
        <v>54</v>
      </c>
      <c r="D14" s="44"/>
    </row>
    <row r="15" ht="14.25" customHeight="1">
      <c r="A15" s="41">
        <v>8.0</v>
      </c>
      <c r="B15" s="42" t="s">
        <v>61</v>
      </c>
      <c r="C15" s="43" t="s">
        <v>54</v>
      </c>
      <c r="D15" s="44"/>
    </row>
    <row r="16" ht="14.25" customHeight="1">
      <c r="A16" s="45">
        <v>9.0</v>
      </c>
      <c r="B16" s="46" t="s">
        <v>62</v>
      </c>
      <c r="C16" s="47"/>
      <c r="D16" s="47" t="s">
        <v>54</v>
      </c>
    </row>
    <row r="17" ht="14.25" customHeight="1">
      <c r="A17" s="48" t="s">
        <v>63</v>
      </c>
      <c r="C17" s="22">
        <f>COUNTA('MODELO LISTA DE COMPROBACION - '!$C$8:$C$16)</f>
        <v>8</v>
      </c>
      <c r="D17" s="22">
        <f>COUNTA('MODELO LISTA DE COMPROBACION - '!$D$8:$D$16)</f>
        <v>1</v>
      </c>
    </row>
    <row r="18" ht="14.25" customHeight="1">
      <c r="A18" s="48" t="s">
        <v>64</v>
      </c>
      <c r="C18" s="49">
        <f t="shared" ref="C18:D18" si="1">C17/9</f>
        <v>0.8888888889</v>
      </c>
      <c r="D18" s="49">
        <f t="shared" si="1"/>
        <v>0.1111111111</v>
      </c>
    </row>
    <row r="19" ht="14.25" customHeight="1">
      <c r="A19" s="48"/>
      <c r="B19" s="48"/>
      <c r="C19" s="49"/>
      <c r="D19" s="22"/>
    </row>
    <row r="20">
      <c r="A20" s="50" t="s">
        <v>65</v>
      </c>
      <c r="B20" s="51"/>
      <c r="C20" s="51"/>
      <c r="D20" s="51"/>
    </row>
    <row r="21" ht="14.25" customHeight="1">
      <c r="A21" s="52" t="s">
        <v>49</v>
      </c>
      <c r="B21" s="53" t="s">
        <v>50</v>
      </c>
      <c r="C21" s="54" t="s">
        <v>51</v>
      </c>
      <c r="D21" s="55" t="s">
        <v>52</v>
      </c>
    </row>
    <row r="22" ht="14.25" customHeight="1">
      <c r="A22" s="41">
        <v>1.0</v>
      </c>
      <c r="B22" s="42" t="s">
        <v>66</v>
      </c>
      <c r="C22" s="47" t="s">
        <v>54</v>
      </c>
      <c r="D22" s="44"/>
    </row>
    <row r="23" ht="14.25" customHeight="1">
      <c r="A23" s="41">
        <v>2.0</v>
      </c>
      <c r="B23" s="42" t="s">
        <v>67</v>
      </c>
      <c r="C23" s="47" t="s">
        <v>54</v>
      </c>
      <c r="D23" s="44"/>
    </row>
    <row r="24" ht="14.25" customHeight="1">
      <c r="A24" s="41">
        <v>3.0</v>
      </c>
      <c r="B24" s="42" t="s">
        <v>68</v>
      </c>
      <c r="C24" s="47" t="s">
        <v>54</v>
      </c>
      <c r="D24" s="44"/>
    </row>
    <row r="25" ht="14.25" customHeight="1">
      <c r="A25" s="41">
        <v>4.0</v>
      </c>
      <c r="B25" s="42" t="s">
        <v>69</v>
      </c>
      <c r="C25" s="47" t="s">
        <v>54</v>
      </c>
      <c r="D25" s="44"/>
    </row>
    <row r="26" ht="14.25" customHeight="1">
      <c r="A26" s="45">
        <v>5.0</v>
      </c>
      <c r="B26" s="46" t="s">
        <v>70</v>
      </c>
      <c r="C26" s="47" t="s">
        <v>54</v>
      </c>
      <c r="D26" s="56"/>
    </row>
    <row r="27" ht="14.25" customHeight="1">
      <c r="A27" s="48" t="s">
        <v>63</v>
      </c>
      <c r="C27" s="22">
        <f>COUNTA('MODELO LISTA DE COMPROBACION - '!$C$22:$C$26)</f>
        <v>5</v>
      </c>
      <c r="D27" s="22">
        <f>COUNTA('MODELO LISTA DE COMPROBACION - '!$D$22:$D$26)</f>
        <v>0</v>
      </c>
    </row>
    <row r="28" ht="14.25" customHeight="1">
      <c r="A28" s="48" t="s">
        <v>64</v>
      </c>
      <c r="C28" s="49">
        <f t="shared" ref="C28:D28" si="2">C27/5</f>
        <v>1</v>
      </c>
      <c r="D28" s="49">
        <f t="shared" si="2"/>
        <v>0</v>
      </c>
    </row>
    <row r="29" ht="14.25" customHeight="1">
      <c r="A29" s="48"/>
      <c r="B29" s="48"/>
      <c r="C29" s="49"/>
      <c r="D29" s="22"/>
    </row>
    <row r="30">
      <c r="A30" s="37" t="s">
        <v>71</v>
      </c>
    </row>
    <row r="31" ht="14.25" customHeight="1">
      <c r="A31" s="52" t="s">
        <v>49</v>
      </c>
      <c r="B31" s="53" t="s">
        <v>50</v>
      </c>
      <c r="C31" s="54" t="s">
        <v>51</v>
      </c>
      <c r="D31" s="55" t="s">
        <v>52</v>
      </c>
    </row>
    <row r="32" ht="14.25" customHeight="1">
      <c r="A32" s="41">
        <v>1.0</v>
      </c>
      <c r="B32" s="42" t="s">
        <v>72</v>
      </c>
      <c r="C32" s="47" t="s">
        <v>54</v>
      </c>
      <c r="D32" s="47"/>
    </row>
    <row r="33" ht="14.25" customHeight="1">
      <c r="A33" s="41">
        <v>2.0</v>
      </c>
      <c r="B33" s="42" t="s">
        <v>73</v>
      </c>
      <c r="C33" s="47" t="s">
        <v>54</v>
      </c>
      <c r="D33" s="47"/>
    </row>
    <row r="34" ht="14.25" customHeight="1">
      <c r="A34" s="45">
        <v>3.0</v>
      </c>
      <c r="B34" s="46" t="s">
        <v>74</v>
      </c>
      <c r="C34" s="47" t="s">
        <v>54</v>
      </c>
      <c r="D34" s="47"/>
    </row>
    <row r="35" ht="14.25" customHeight="1">
      <c r="A35" s="48" t="s">
        <v>63</v>
      </c>
      <c r="C35" s="22">
        <f>COUNTA('MODELO LISTA DE COMPROBACION - '!$C$32:$C$34)</f>
        <v>3</v>
      </c>
      <c r="D35" s="22">
        <f>COUNTA('MODELO LISTA DE COMPROBACION - '!$D$32:$D$34)</f>
        <v>0</v>
      </c>
    </row>
    <row r="36" ht="14.25" customHeight="1">
      <c r="A36" s="48" t="s">
        <v>64</v>
      </c>
      <c r="C36" s="49">
        <f t="shared" ref="C36:D36" si="3">C35/3</f>
        <v>1</v>
      </c>
      <c r="D36" s="49">
        <f t="shared" si="3"/>
        <v>0</v>
      </c>
    </row>
    <row r="37" ht="14.25" customHeight="1"/>
    <row r="38" ht="14.25" customHeight="1"/>
    <row r="39" ht="14.25" customHeight="1"/>
    <row r="40" ht="14.25" customHeight="1">
      <c r="A40" s="57" t="s">
        <v>75</v>
      </c>
    </row>
    <row r="41" ht="30.0" customHeight="1">
      <c r="B41" s="31" t="s">
        <v>76</v>
      </c>
      <c r="C41" s="22">
        <v>89.0</v>
      </c>
    </row>
    <row r="42" ht="30.0" customHeight="1">
      <c r="B42" s="31" t="s">
        <v>65</v>
      </c>
      <c r="C42" s="22">
        <v>100.0</v>
      </c>
    </row>
    <row r="43" ht="30.0" customHeight="1">
      <c r="B43" s="31" t="s">
        <v>71</v>
      </c>
      <c r="C43" s="22">
        <v>100.0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58" t="s">
        <v>77</v>
      </c>
      <c r="B1" s="58" t="s">
        <v>78</v>
      </c>
    </row>
    <row r="2" ht="14.25" customHeight="1">
      <c r="A2" s="59" t="s">
        <v>79</v>
      </c>
      <c r="B2" s="59" t="s">
        <v>80</v>
      </c>
    </row>
    <row r="3" ht="14.25" customHeight="1">
      <c r="A3" s="13" t="s">
        <v>81</v>
      </c>
      <c r="B3" s="59" t="s">
        <v>82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</cp:coreProperties>
</file>