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Ckeck LIst" sheetId="1" r:id="rId4"/>
    <sheet state="visible" name="MODELO LISTA DE COMPROBACION - " sheetId="2" r:id="rId5"/>
    <sheet state="visible" name="Hoja 1" sheetId="3" r:id="rId6"/>
    <sheet state="visible" name="Hoja 2" sheetId="4" r:id="rId7"/>
    <sheet state="visible" name="Hoja 3" sheetId="5" r:id="rId8"/>
    <sheet state="visible" name="RECOMENDACIONES" sheetId="6" r:id="rId9"/>
  </sheets>
  <definedNames/>
  <calcPr/>
  <extLst>
    <ext uri="GoogleSheetsCustomDataVersion2">
      <go:sheetsCustomData xmlns:go="http://customooxmlschemas.google.com/" r:id="rId10" roundtripDataChecksum="EU7ZZEtqh/jHBrgL0QR0hjxb8b1WHO7IZ57CIjOc1x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9">
      <text>
        <t xml:space="preserve">======
ID#AAAB5ZQHncw
jeny ruiz    (2026-04-14 16:55:43)
Es importante ingresar el archivo plano en formato excel para el cliente y el desarrollador</t>
      </text>
    </comment>
    <comment authorId="0" ref="C16">
      <text>
        <t xml:space="preserve">======
ID#AAAB5ZQHnco
jeny ruiz    (2026-04-14 16:55:43)
Puede ser implementado  y desarrollado en las condiciones actuales(tiempo, Presupuest,, orgtanizaciòn, ect)</t>
      </text>
    </comment>
    <comment authorId="0" ref="I9">
      <text>
        <t xml:space="preserve">======
ID#AAAB5ZQHncc
jeny ruiz    (2026-04-14 16:55:43)
Es importante ingresar el archivo plano en formato excel para el cliente y el desarrollador</t>
      </text>
    </comment>
    <comment authorId="0" ref="C13">
      <text>
        <t xml:space="preserve">======
ID#AAAB5ZQHncg
jeny ruiz    (2026-04-14 16:55:43)
Refleja las espectativas  del implicado</t>
      </text>
    </comment>
    <comment authorId="0" ref="K7">
      <text>
        <t xml:space="preserve">======
ID#AAAB5ZQHncU
jeny ruiz    (2026-04-14 16:55:43)
jeny ruiz:
Posterior a la actualización, se guardaran automáticamente el nombre de usuario, fecha, hora, registro antiguo, registro nuevo.</t>
      </text>
    </comment>
    <comment authorId="0" ref="F7">
      <text>
        <t xml:space="preserve">======
ID#AAAB5ZQHncQ
jeny ruiz    (2026-04-14 16:55:43)
La información contenida en memoria se utiliza para actualizar los campos de la base de datos.</t>
      </text>
    </comment>
    <comment authorId="0" ref="C17">
      <text>
        <t xml:space="preserve">======
ID#AAAB5ZQHncM
jeny ruiz    (2026-04-14 16:55:43)
El origen del requisito y sus relaciones con otros requisitos  están claros.</t>
      </text>
    </comment>
    <comment authorId="0" ref="J7">
      <text>
        <t xml:space="preserve">======
ID#AAAB5ZQHncI
jeny ruiz    (2026-04-14 16:55:43)
Control del nivel de acuedo entre las partes Cliente y Desarrollador</t>
      </text>
    </comment>
    <comment authorId="0" ref="I7">
      <text>
        <t xml:space="preserve">======
ID#AAAB5ZQHncE
jeny ruiz    (2026-04-14 16:55:43)
Se guarda en un archivo Excel los registros que dieron un problema en la actualización.</t>
      </text>
    </comment>
    <comment authorId="0" ref="G7">
      <text>
        <t xml:space="preserve">======
ID#AAAB5ZQHncA
jeny ruiz    (2026-04-14 16:55:43)
Control del nivel de acuedo entre las partes Cliente y Desarrollador</t>
      </text>
    </comment>
    <comment authorId="0" ref="C14">
      <text>
        <t xml:space="preserve">======
ID#AAAB5ZN294k
jeny ruiz    (2026-04-14 16:55:43)
Sin contradicciones</t>
      </text>
    </comment>
    <comment authorId="0" ref="C9">
      <text>
        <t xml:space="preserve">======
ID#AAAB5ZN294g
jeny ruiz    (2026-04-14 16:55:43)
Todos los interesados reconocen que el  requisito es correcto y relevante</t>
      </text>
    </comment>
    <comment authorId="0" ref="C18">
      <text>
        <t xml:space="preserve">======
ID#AAAB5ZN294Y
jeny ruiz    (2026-04-14 16:55:43)
Trata todos los asuntos relevantes</t>
      </text>
    </comment>
    <comment authorId="0" ref="C11">
      <text>
        <t xml:space="preserve">======
ID#AAAB5ZN294c
jeny ruiz    (2026-04-14 16:55:43)
Todos los lectores comprenden de la misma manera, sólo una interpretación</t>
      </text>
    </comment>
    <comment authorId="0" ref="C15">
      <text>
        <t xml:space="preserve">======
ID#AAAB5ZN294U
jeny ruiz    (2026-04-14 16:55:43)
Su cumplimiento o no cumplimiento puede der probado con un esfuerzo razonable</t>
      </text>
    </comment>
    <comment authorId="0" ref="C19">
      <text>
        <t xml:space="preserve">======
ID#AAAB3RugzZg
jeny ruiz    (2026-04-14 16:55:43)
Para todos los interesados dependiendo  de la fase del proyecto podrían estar involucrados  distintos implicados,(Glosario de tèrminos)</t>
      </text>
    </comment>
    <comment authorId="0" ref="C10">
      <text>
        <t xml:space="preserve">======
ID#AAAB3RugzZk
jeny ruiz    (2026-04-14 16:55:43)
Ponderado por importancia o prioridad</t>
      </text>
    </comment>
    <comment authorId="0" ref="C12">
      <text>
        <t xml:space="preserve">======
ID#AAAB3RugzZc
jeny ruiz    (2026-04-14 16:55:43)
Toda nueva información  ha sido incorporada</t>
      </text>
    </comment>
    <comment authorId="0" ref="F9">
      <text>
        <t xml:space="preserve">======
ID#AAAB3RugzZU
jeny ruiz    (2026-04-14 16:55:43)
Es importante ingresar el archivo plano en formato excel para el cliente y el desarrollador</t>
      </text>
    </comment>
    <comment authorId="0" ref="E7">
      <text>
        <t xml:space="preserve">======
ID#AAAB3RugzZQ
jeny ruiz    (2026-04-14 16:55:43)
Control del nivel de acuedo entre las partes Cliente y Desarrollador</t>
      </text>
    </comment>
  </commentList>
  <extLst>
    <ext uri="GoogleSheetsCustomDataVersion2">
      <go:sheetsCustomData xmlns:go="http://customooxmlschemas.google.com/" r:id="rId1" roundtripDataSignature="AMtx7mjI2QWbo3W+o5oM+0NeJNuHr8xhE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3">
      <text>
        <t xml:space="preserve">======
ID#AAAB5ZQHnc4
ESPE    (2026-04-14 16:55:43)
CORRECCION</t>
      </text>
    </comment>
    <comment authorId="0" ref="B9">
      <text>
        <t xml:space="preserve">======
ID#AAAB5ZQHnc0
ESPE    (2026-04-14 16:55:43)
COMPLETITUD REQUISITO INDIVIDUAL</t>
      </text>
    </comment>
    <comment authorId="0" ref="B15">
      <text>
        <t xml:space="preserve">======
ID#AAAB5ZQHncs
ESPE    (2026-04-14 16:55:43)
NECESIDAD</t>
      </text>
    </comment>
    <comment authorId="0" ref="B14">
      <text>
        <t xml:space="preserve">======
ID#AAAB5ZQHnck
ESPE    (2026-04-14 16:55:43)
CONSISTENCIA</t>
      </text>
    </comment>
    <comment authorId="0" ref="B8">
      <text>
        <t xml:space="preserve">======
ID#AAAB5ZQHncY
ESPE    (2026-04-14 16:55:43)
COMPLETITUD DOCUMENTO</t>
      </text>
    </comment>
    <comment authorId="0" ref="B12">
      <text>
        <t xml:space="preserve">======
ID#AAAB5ZQHnb8
ESPE    (2026-04-14 16:55:43)
TRAZABILIDAD</t>
      </text>
    </comment>
    <comment authorId="0" ref="B16">
      <text>
        <t xml:space="preserve">======
ID#AAAB5ZQHnb4
ESPE    (2026-04-14 16:55:43)
verificable</t>
      </text>
    </comment>
    <comment authorId="0" ref="B10">
      <text>
        <t xml:space="preserve">======
ID#AAAB3RugzZo
ESPE    (2026-04-14 16:55:43)
TRAZABILIDAD</t>
      </text>
    </comment>
    <comment authorId="0" ref="B11">
      <text>
        <t xml:space="preserve">======
ID#AAAB3RugzZY
ESPE    (2026-04-14 16:55:43)
trazabilidad</t>
      </text>
    </comment>
  </commentList>
  <extLst>
    <ext uri="GoogleSheetsCustomDataVersion2">
      <go:sheetsCustomData xmlns:go="http://customooxmlschemas.google.com/" r:id="rId1" roundtripDataSignature="AMtx7mjZ2BplnxQMDoMLfbuGw4KTyZBuXQ=="/>
    </ext>
  </extLst>
</comments>
</file>

<file path=xl/sharedStrings.xml><?xml version="1.0" encoding="utf-8"?>
<sst xmlns="http://schemas.openxmlformats.org/spreadsheetml/2006/main" count="409" uniqueCount="137">
  <si>
    <t>MATRIZ PARA COMPROBACIÓN REQUERIMIENTOS DE CALIDAD DE PROYECTO ACADEMICO</t>
  </si>
  <si>
    <t>SISTEMA:</t>
  </si>
  <si>
    <t xml:space="preserve">SISTEMA DE GESTION DE GESTION Y CONTROL DE VIAJES </t>
  </si>
  <si>
    <t>Requerimientos  Funcionales</t>
  </si>
  <si>
    <t>Nº</t>
  </si>
  <si>
    <t>CRITERIOS DE CALIDAD (Documento/Requerimientos)</t>
  </si>
  <si>
    <t>Status
Nivel de Acuerdo</t>
  </si>
  <si>
    <t xml:space="preserve">
RF - 01 Iniciar sesión</t>
  </si>
  <si>
    <t>RF - 04 Gestionar transportistas</t>
  </si>
  <si>
    <t>RF - 05 Gestionar Viajes</t>
  </si>
  <si>
    <t xml:space="preserve">RF - 06 Monitorear Viajes </t>
  </si>
  <si>
    <t>Agreed</t>
  </si>
  <si>
    <t>OK</t>
  </si>
  <si>
    <t>Entrevista presencial, Minuta de la entrevista, Historias de usuario</t>
  </si>
  <si>
    <t>1. Minuta revisada y firmada
2. Entrevista presencial
3. Existe acuerdo general sobre el alcance del requerimiento.</t>
  </si>
  <si>
    <t>1. Minuta revisada y firmada por el promotor.
2. Entrevista presencial realizada con la Secretaria y el Coordinador.
3. El requisito es aceptado por todos los interesados.</t>
  </si>
  <si>
    <t xml:space="preserve">1. Entrevista presencial
2.Minuta de la entrevista firmada
</t>
  </si>
  <si>
    <t>Ranked</t>
  </si>
  <si>
    <t>NOK</t>
  </si>
  <si>
    <t>Los casos de uso se encuentran enumerados, lo que establece un orden, sin embargo no se especifica un criterio formal de priorización.</t>
  </si>
  <si>
    <t>1. No se especifica prioridad
2. No se define si es alta, media o baja respecto a otros RF.</t>
  </si>
  <si>
    <t>1. No se especifica prioridad formal 
(Alta/Media/Baja) para el requisito RF-05 ni
 sus sub-requisitos RF-5.1 a RF-5.6. 
2. El orden numérico no equivale a priorización.</t>
  </si>
  <si>
    <t>1. No se especifica como tal una prioridad y muchos menos aún existe algun criterio para ser enumerados de tal forma.</t>
  </si>
  <si>
    <t>Unambiguos</t>
  </si>
  <si>
    <t>El lenguaje es claro y técnico; se apoya en el diagrama de la pág. 1 donde se definen las extensiones de "Crear Cuenta" y "Recuperar Contraseña".</t>
  </si>
  <si>
    <t>1. Redaccion clara y ordenada en la documentacion
2. El tutor y el equipo entienden de igual manera el caso de uso</t>
  </si>
  <si>
    <t xml:space="preserve">1. Redacción clara y ordenada en el srs 
2. Todas las personas involucradas dentro del proyecto entienden los casos de uso </t>
  </si>
  <si>
    <t xml:space="preserve">1. Lenguaje claro y redacción concisa.
2. Todos los miembros del grupo lo entienden.
 </t>
  </si>
  <si>
    <t>Valid and up-to date</t>
  </si>
  <si>
    <t>1. No se tomó en cuenta la retroalimentación 
recibida luego de la última revisión del SRS.
2. Los cambios sugeridos por el revisor no 
fueron reflejados en RF-05.</t>
  </si>
  <si>
    <t>1.  Toda nueva retoralimentacion se detuvo
2.  Faltan algunas partes de la nuevas</t>
  </si>
  <si>
    <t xml:space="preserve">1. No se consideró la retroalimentación del revisor del SRS.
2. No se tomó en cuenta feedback del cliente. </t>
  </si>
  <si>
    <t>Correct</t>
  </si>
  <si>
    <t>Representa la necesidad del negocio de seguridad y control, permitiendo que solo actores autorizados operen el sistema de gestión.</t>
  </si>
  <si>
    <t>1. Falta la segunda revision con el cliente
2. Falta que el cliente revise el prototipo</t>
  </si>
  <si>
    <t>1.El requisito RF-05 refleja las expectativas de los stakeholders (Secretaria, Gerente) según las entrevistas y las historias de usuario recopiladas.</t>
  </si>
  <si>
    <t xml:space="preserve">1. Es correcto porque refleja necesidades reales de Coordinadores y Transportistas.
</t>
  </si>
  <si>
    <t>Consisten</t>
  </si>
  <si>
    <t>1. Coherente con la sección 2.3 del SRS; permite el ingreso de los 5 roles definidos (Cliente, Coordinador, Transportista, Secretaria, Gerente).                                                                           2.  No existen contradicciones; es coherente con el diagrama de nivel 0 y sirve como precondición implícita para el resto de los casos de uso (RF-4, RF-5, etc.).</t>
  </si>
  <si>
    <t>1. Documentación alineada con el modelo de casos de uso
2. No tiene contradicciones</t>
  </si>
  <si>
    <t xml:space="preserve">1. Se detectó un error de consistencia: la descripción de RF-5.2 (Cancelar Viajes) es idéntica a la de RF-5.1 (Crear Viajes)  lo que constituye una contradicción en el significado.
</t>
  </si>
  <si>
    <t>1. No presenta contradicciones con otros requisitos del sistema.
2. Está alineado con el diagrama de casos de uso validado.
3. Mantiene coherencia en la terminología y en las ideas descritas.</t>
  </si>
  <si>
    <t>Verifiable</t>
  </si>
  <si>
    <t>1. Es verificable mediante pruebas de login; se puede medir el éxito mediante la redirección correcta según el rol del actor ingresado.                                                                                      2. Es medible a través de sus 3 excepciones detalladas: cuenta no encontrada, contraseña incorrecta y cuenta inactiva.</t>
  </si>
  <si>
    <t>1. No se definen métricas claras para validar el cumplimiento del requerimiento.</t>
  </si>
  <si>
    <t xml:space="preserve">1. RF-05 carece de criterios de aceptación cuantificables. No se especifica tiempo de creación de viaje, límite de viajes simultáneos ni métricas de éxito verificables.
</t>
  </si>
  <si>
    <t xml:space="preserve">1. No existe una metrica clara que pueda llegar a ser medida.
2. No define criterios cuantificables para validar las condiciones.
</t>
  </si>
  <si>
    <t>Realizable</t>
  </si>
  <si>
    <t>Factible según las Interfaces de Software (sección 3.1.3 del SRS) que especifican el uso de bases de datos y SO compatibles.</t>
  </si>
  <si>
    <t>1. La funcionalidad aún no ha sido implementada ni validada técnicamente</t>
  </si>
  <si>
    <t>La integración con Sistema Externo de Información (ERF 911) en RF-5.2 y con Google Maps en RF-5.6 requiere APIs externas sin análisis formal de disponibilidad, costo ni restricciones de uso.</t>
  </si>
  <si>
    <t>1. Sí, no se plantea nada imposible ni fuera del alcance técnico actual.</t>
  </si>
  <si>
    <t>Traceable</t>
  </si>
  <si>
    <t>Se traza directamente al Árbol de Problemas (SRS pág. 18), resolviendo la causa de "registro incorrecto de datos" mediante la identificación del usuario.</t>
  </si>
  <si>
    <t>1. No esta muy claro la relacion entre los actores transportistas y cordinador</t>
  </si>
  <si>
    <t>1. RF-05 y sus sub-requisitos (RF-5.1 a RF-5.6) tienen identificadores únicos. El origen es trazable a la entrevista con la Secretaria y al árbol de problemas documentado.</t>
  </si>
  <si>
    <t>1. Si, existe una trazabilidad referente a otros requisitos.
2. Documentos de trazabilidad para el requisitos.</t>
  </si>
  <si>
    <t>Complete</t>
  </si>
  <si>
    <t>El CU incluye: 1 Actor, Precondición, Secuencia normal de 8 pasos, Postcondiciones y 3 Flujos de excepción detallados.</t>
  </si>
  <si>
    <t>1. Si toma en cuenta todos los asuntos relevantes
2. Toma a todos los actores presentes en el caso de uso</t>
  </si>
  <si>
    <t>1. RF-05 cubre el ciclo completo de viajes: crear (RF-5.1), cancelar (RF-5.2), consultar (RF-5.3), reprogramar (RF-5.4), asignar transportista (RF-5.5) y planificar ruta (RF-5.6).</t>
  </si>
  <si>
    <t xml:space="preserve">1. No define criterios claros (ej: cuánto es un retraso)
2. No especifica qué datos exactos se muestran del viaje
3. No detalla cómo funcionan las notificaciones 
</t>
  </si>
  <si>
    <t>Understandability</t>
  </si>
  <si>
    <t>La redacción es clara, estructurada paso a paso y se apoya en el diagrama visual de la página 1 del Anexo para facilitar su comprensión.</t>
  </si>
  <si>
    <t>1. La documentación es clara y comprensible para el equipo y stakeholders.
2. Se consideran todos los actores involucrados en el proceso.</t>
  </si>
  <si>
    <t>RF-05 es comprensible. La estructuración en sub-casos de uso con secuencias numeradas permite que tanto desarrolladores como usuarios finales (Secretaria, Gerente) entiendan el requisito.</t>
  </si>
  <si>
    <t xml:space="preserve">1. El lenguaje es claro, común y no técnico
2. Se identifican bien los actores.
3. La idea general se comprende fácilmente.
</t>
  </si>
  <si>
    <t>Sistema De Gestión y Control de Viajes</t>
  </si>
  <si>
    <t>FECHA:</t>
  </si>
  <si>
    <t>AUTOR:</t>
  </si>
  <si>
    <t>Leidy Saraguro</t>
  </si>
  <si>
    <t>REQUERIMIENTOS EVALUADOS :</t>
  </si>
  <si>
    <t>CU001 Iniciar Sesión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</si>
  <si>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</si>
  <si>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</si>
  <si>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</si>
  <si>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</si>
  <si>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</si>
  <si>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</si>
  <si>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</si>
  <si>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</si>
  <si>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</si>
  <si>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</si>
  <si>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</si>
  <si>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</si>
  <si>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</si>
  <si>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</si>
  <si>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</si>
  <si>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</si>
  <si>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</si>
  <si>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</si>
  <si>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</si>
  <si>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</si>
  <si>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</si>
  <si>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</si>
  <si>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</si>
  <si>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</si>
  <si>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</si>
  <si>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</si>
  <si>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</si>
  <si>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</si>
  <si>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</si>
  <si>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 xml:space="preserve">Erick Obando </t>
  </si>
  <si>
    <t>CU004 Gestionar transportistas</t>
  </si>
  <si>
    <t>X</t>
  </si>
  <si>
    <t xml:space="preserve">Alexander Ñacato </t>
  </si>
  <si>
    <t>CU005 Gestionar Viajes</t>
  </si>
  <si>
    <t>Jonathan Jaguaco</t>
  </si>
  <si>
    <t>CU006 Monitorear Viajes</t>
  </si>
  <si>
    <t>Iniciar Sesión</t>
  </si>
  <si>
    <t>¿Se ha establecido una metodología formal de priorización (como MoSCoW o escala numérica) para el RF-01 dentro del listado de requerimientos?</t>
  </si>
  <si>
    <t>Se recomienda incorporar una columna de "Prioridad" en el Anexo de Requisitos. Aunque el RF-01 es lógicamente el primero, debe etiquetarse formalmente como "Prioridad: Alta/Crítica" para asegurar que los recursos se asignen correctamente y no se asuma su importancia solo por su numeración.</t>
  </si>
  <si>
    <t>¿Existen criterios de aceptación detallados y métricas de rendimiento que permitan verificar objetivamente el éxito del proceso de autenticación?</t>
  </si>
  <si>
    <t>Se recomienda añadir al caso de uso métricas específicas como precondiciones de calidad; por ejemplo: "El sistema debe validar las credenciales en un tiempo máximo de 2 segundos". Esto permitirá que los casos de prueba sean objetivos y no dependan de interpretaciones subjetivas del programador.</t>
  </si>
  <si>
    <t>¿Se han integrado y validado formalmente las observaciones de la última revisión del tutor para asegurar que el RF-01 esté vigente?</t>
  </si>
  <si>
    <t>Se recomienda actualizar el documento a la versión 1.2, reflejando los cambios sugeridos por el revisor. No basta con conocer el feedback; el documento oficial debe ser el "espejo" de esos acuerdos para evitar errores en el desarrollo.</t>
  </si>
  <si>
    <t>Gestion de Viajes</t>
  </si>
  <si>
    <t>PREGUNTA</t>
  </si>
  <si>
    <t>RECOMENDACIÓN</t>
  </si>
  <si>
    <t>¿Se han validado y aprobado formalmente todos los entregables de la entrevista (videoconferencia, minuta, acta de aceptación)?</t>
  </si>
  <si>
    <t>Establecer firmas digitales o un acta de reunión oficial tras cada sesión de descubrimiento, de modo que quede constancia inequívoca de la aprobación de alcance y contenido por parte de tutor, cliente y equipo.</t>
  </si>
  <si>
    <t>¿Se han definido criterios de aceptación y casos de prueba
 que permitan medir objetivamente el cumplimiento del 
requisito?</t>
  </si>
  <si>
    <t>Elaborar una lista formal de Criterios de Aceptación en formato tabla (dado / cuando / entonces) para cada RF. Incluir métricas: tiempo de respuesta y número máximo de intentos. Asociar cada criterio al RF correspondiente antes del inicio del desarrollo.</t>
  </si>
  <si>
    <t>Monitorear  Viajes</t>
  </si>
  <si>
    <t>¿Qué tipo de eventos o inconsistencias deben considerarse críticos para generar una alerta automática durante el monitoreo del viaje?</t>
  </si>
  <si>
    <t>Establecer los tipos de inconsistencias como “retrasos, condiciones climáticas, eventos en la vía”debido a que "retraso significativo" lleva a múltiples interpretaciones. Esto ayuda a evitar ambigüedad a nivel de conceptos.</t>
  </si>
  <si>
    <t>¿Cómo se actualizará la información de monitoreo en
 tiempo real y con qué frecuencia se refrescarán los datos
 de ubicación del vehículo?</t>
  </si>
  <si>
    <t>Se recomienda definir explícitamente la frecuencia de actualización de los datos de monitoreo (por ejemplo, cada 10, 30 o 60 segundos), así como el mecanismo de obtención de la información.</t>
  </si>
  <si>
    <t>¿Qué acciones específicas puede realizar el coordinador 
desde el sistema cuando detecta una incidencia durante el
 monitoreo de un viaje?</t>
  </si>
  <si>
    <t>Se recomienda definir claramente las acciones disponibles para el
 coordinador durante el monitoreo del viaje, tales como el envío
 de notificaciones, modificación de ruta, registro de incidencias 
y escalamiento de eventos.</t>
  </si>
  <si>
    <t>Gestionar transportistas</t>
  </si>
  <si>
    <t>¿Se ha definido claramente la prioridad del requerimiento dentro del sistema?</t>
  </si>
  <si>
    <t>Establecer una clasificación de prioridad (Alta, Media, Baja) para el RF-04 y sus subprocesos (crear, editar, eliminar, importar, consultar), considerando impacto en la operación y dependencia con otros módulos.</t>
  </si>
  <si>
    <t>¿Se ha validado formalmente el requerimiento con el cliente?</t>
  </si>
  <si>
    <t>Realizar una segunda revisión formal con el cliente, utilizando actas de validación o firmas digitales para confirmar que el requerimiento cumple con sus necesidades.</t>
  </si>
  <si>
    <t>Se han incorporado todas las observaciones y retroalimentaciones recientes?</t>
  </si>
  <si>
    <t>Actualizar la documentación incluyendo todos los cambios derivados del feedback del cliente y del tutor, manteniendo un control de versiones del requerimiento.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</si>
</sst>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theme="1"/>
      <name val="Calibri"/>
      <scheme val="minor"/>
    </font>
    <font>
      <sz val="8.0"/>
      <color theme="1"/>
      <name val="Arial"/>
    </font>
    <font>
      <b/>
      <sz val="18.0"/>
      <color rgb="FF1F497D"/>
      <name val="Calibri"/>
    </font>
    <font>
      <b/>
      <sz val="18.0"/>
      <color theme="1"/>
      <name val="Calibri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6.0"/>
      <color theme="0"/>
      <name val="Calibri"/>
    </font>
    <font>
      <b/>
      <sz val="16.0"/>
      <color theme="1"/>
      <name val="Calibri"/>
    </font>
    <font>
      <b/>
      <sz val="12.0"/>
      <color rgb="FFFFFFFF"/>
      <name val="Calibri"/>
    </font>
    <font>
      <b/>
      <sz val="16.0"/>
      <color rgb="FFFFFFFF"/>
      <name val="Calibri"/>
    </font>
    <font>
      <b/>
      <sz val="14.0"/>
      <color theme="1"/>
      <name val="Calibri"/>
    </font>
    <font>
      <sz val="14.0"/>
      <color theme="1"/>
      <name val="Calibri"/>
    </font>
    <font>
      <b/>
      <sz val="18.0"/>
      <color rgb="FFFA7D00"/>
      <name val="Calibri"/>
    </font>
    <font>
      <b/>
      <sz val="11.0"/>
      <color rgb="FF000000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rgb="FFFFFFFF"/>
      <name val="Calibri"/>
    </font>
    <font>
      <b/>
      <sz val="11.0"/>
      <color theme="0"/>
      <name val="Calibri"/>
    </font>
    <font>
      <b/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2" fillId="0" fontId="5" numFmtId="0" xfId="0" applyBorder="1" applyFont="1"/>
    <xf borderId="3" fillId="0" fontId="5" numFmtId="0" xfId="0" applyBorder="1" applyFont="1"/>
    <xf borderId="4" fillId="2" fontId="6" numFmtId="0" xfId="0" applyAlignment="1" applyBorder="1" applyFont="1">
      <alignment horizontal="center" shrinkToFit="0" vertical="center" wrapText="1"/>
    </xf>
    <xf borderId="5" fillId="2" fontId="6" numFmtId="0" xfId="0" applyAlignment="1" applyBorder="1" applyFont="1">
      <alignment horizontal="center" shrinkToFit="0" vertical="center" wrapText="1"/>
    </xf>
    <xf borderId="6" fillId="0" fontId="5" numFmtId="0" xfId="0" applyBorder="1" applyFont="1"/>
    <xf borderId="4" fillId="2" fontId="7" numFmtId="0" xfId="0" applyAlignment="1" applyBorder="1" applyFont="1">
      <alignment horizontal="center" shrinkToFit="0" vertical="center" wrapText="1"/>
    </xf>
    <xf borderId="4" fillId="2" fontId="6" numFmtId="0" xfId="0" applyAlignment="1" applyBorder="1" applyFont="1">
      <alignment horizontal="center" readingOrder="0" shrinkToFit="0" vertical="center" wrapText="1"/>
    </xf>
    <xf borderId="7" fillId="0" fontId="8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3" fontId="9" numFmtId="0" xfId="0" applyAlignment="1" applyBorder="1" applyFill="1" applyFont="1">
      <alignment horizontal="center" shrinkToFit="0" vertical="center" wrapText="1"/>
    </xf>
    <xf borderId="1" fillId="3" fontId="9" numFmtId="0" xfId="0" applyAlignment="1" applyBorder="1" applyFont="1">
      <alignment horizontal="center" shrinkToFit="0" vertical="center" wrapText="1"/>
    </xf>
    <xf borderId="7" fillId="4" fontId="10" numFmtId="0" xfId="0" applyAlignment="1" applyBorder="1" applyFill="1" applyFont="1">
      <alignment horizontal="center" shrinkToFit="0" vertical="center" wrapText="1"/>
    </xf>
    <xf borderId="12" fillId="3" fontId="11" numFmtId="0" xfId="0" applyAlignment="1" applyBorder="1" applyFont="1">
      <alignment horizontal="left" readingOrder="0" shrinkToFit="0" vertical="center" wrapText="1"/>
    </xf>
    <xf borderId="7" fillId="4" fontId="10" numFmtId="0" xfId="0" applyAlignment="1" applyBorder="1" applyFont="1">
      <alignment horizontal="center" readingOrder="0" shrinkToFit="0" vertical="center" wrapText="1"/>
    </xf>
    <xf borderId="0" fillId="0" fontId="8" numFmtId="0" xfId="0" applyFont="1"/>
    <xf borderId="7" fillId="5" fontId="10" numFmtId="0" xfId="0" applyAlignment="1" applyBorder="1" applyFill="1" applyFont="1">
      <alignment horizontal="center" readingOrder="0" shrinkToFit="0" vertical="center" wrapText="1"/>
    </xf>
    <xf borderId="7" fillId="3" fontId="11" numFmtId="0" xfId="0" applyAlignment="1" applyBorder="1" applyFont="1">
      <alignment readingOrder="0" shrinkToFit="0" vertical="center" wrapText="1"/>
    </xf>
    <xf borderId="7" fillId="3" fontId="11" numFmtId="0" xfId="0" applyAlignment="1" applyBorder="1" applyFont="1">
      <alignment horizontal="left" readingOrder="0" shrinkToFit="0" vertical="center" wrapText="1"/>
    </xf>
    <xf borderId="7" fillId="6" fontId="10" numFmtId="0" xfId="0" applyAlignment="1" applyBorder="1" applyFill="1" applyFont="1">
      <alignment horizontal="center" readingOrder="0" shrinkToFit="0" vertical="center" wrapText="1"/>
    </xf>
    <xf borderId="7" fillId="3" fontId="11" numFmtId="0" xfId="0" applyAlignment="1" applyBorder="1" applyFont="1">
      <alignment horizontal="left" readingOrder="0" shrinkToFit="0" vertical="center" wrapText="1"/>
    </xf>
    <xf borderId="13" fillId="3" fontId="11" numFmtId="0" xfId="0" applyAlignment="1" applyBorder="1" applyFont="1">
      <alignment horizontal="left" readingOrder="0" shrinkToFit="0" vertical="center" wrapText="1"/>
    </xf>
    <xf borderId="1" fillId="3" fontId="12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vertical="top"/>
    </xf>
    <xf borderId="0" fillId="0" fontId="13" numFmtId="0" xfId="0" applyAlignment="1" applyFont="1">
      <alignment horizontal="left" vertical="top"/>
    </xf>
    <xf borderId="0" fillId="0" fontId="14" numFmtId="0" xfId="0" applyAlignment="1" applyFont="1">
      <alignment horizontal="left" readingOrder="0" shrinkToFit="0" vertical="top" wrapText="1"/>
    </xf>
    <xf borderId="0" fillId="0" fontId="13" numFmtId="0" xfId="0" applyAlignment="1" applyFont="1">
      <alignment horizontal="left"/>
    </xf>
    <xf borderId="0" fillId="0" fontId="14" numFmtId="15" xfId="0" applyAlignment="1" applyFont="1" applyNumberFormat="1">
      <alignment horizontal="left"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0" fontId="15" numFmtId="0" xfId="0" applyAlignment="1" applyFont="1">
      <alignment horizontal="center" vertical="center"/>
    </xf>
    <xf borderId="12" fillId="7" fontId="14" numFmtId="0" xfId="0" applyAlignment="1" applyBorder="1" applyFill="1" applyFont="1">
      <alignment horizontal="center" vertical="center"/>
    </xf>
    <xf borderId="14" fillId="7" fontId="14" numFmtId="0" xfId="0" applyAlignment="1" applyBorder="1" applyFont="1">
      <alignment horizontal="center" vertical="center"/>
    </xf>
    <xf borderId="15" fillId="7" fontId="14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shrinkToFit="0" wrapText="1"/>
    </xf>
    <xf borderId="7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6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left" vertical="center"/>
    </xf>
    <xf borderId="0" fillId="0" fontId="8" numFmtId="9" xfId="0" applyFont="1" applyNumberFormat="1"/>
    <xf borderId="16" fillId="0" fontId="15" numFmtId="0" xfId="0" applyAlignment="1" applyBorder="1" applyFont="1">
      <alignment horizontal="center" vertical="center"/>
    </xf>
    <xf borderId="16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8" fillId="0" fontId="13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vertical="center"/>
    </xf>
    <xf borderId="9" fillId="0" fontId="10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0" fillId="0" fontId="13" numFmtId="0" xfId="0" applyAlignment="1" applyFont="1">
      <alignment horizontal="center"/>
    </xf>
    <xf borderId="0" fillId="0" fontId="8" numFmtId="0" xfId="0" applyAlignment="1" applyFont="1">
      <alignment readingOrder="0"/>
    </xf>
    <xf borderId="1" fillId="8" fontId="16" numFmtId="0" xfId="0" applyAlignment="1" applyBorder="1" applyFill="1" applyFont="1">
      <alignment horizontal="center" readingOrder="0" vertical="center"/>
    </xf>
    <xf borderId="7" fillId="0" fontId="17" numFmtId="0" xfId="0" applyAlignment="1" applyBorder="1" applyFont="1">
      <alignment horizontal="center" readingOrder="0" shrinkToFit="0" vertical="center" wrapText="1"/>
    </xf>
    <xf borderId="7" fillId="0" fontId="18" numFmtId="0" xfId="0" applyAlignment="1" applyBorder="1" applyFont="1">
      <alignment readingOrder="0" shrinkToFit="0" wrapText="1"/>
    </xf>
    <xf borderId="0" fillId="0" fontId="19" numFmtId="0" xfId="0" applyAlignment="1" applyFont="1">
      <alignment horizontal="center" readingOrder="0" vertical="center"/>
    </xf>
    <xf borderId="0" fillId="8" fontId="16" numFmtId="0" xfId="0" applyAlignment="1" applyFont="1">
      <alignment horizontal="center" readingOrder="0" vertical="center"/>
    </xf>
    <xf borderId="7" fillId="8" fontId="20" numFmtId="0" xfId="0" applyAlignment="1" applyBorder="1" applyFont="1">
      <alignment horizontal="center" vertical="center"/>
    </xf>
    <xf borderId="0" fillId="0" fontId="18" numFmtId="0" xfId="0" applyAlignment="1" applyFont="1">
      <alignment readingOrder="0"/>
    </xf>
    <xf borderId="7" fillId="0" fontId="21" numFmtId="0" xfId="0" applyAlignment="1" applyBorder="1" applyFont="1">
      <alignment horizontal="center" shrinkToFit="0" vertical="center" wrapText="1"/>
    </xf>
    <xf borderId="7" fillId="0" fontId="8" numFmtId="0" xfId="0" applyAlignment="1" applyBorder="1" applyFont="1">
      <alignment shrinkToFit="0" wrapText="1"/>
    </xf>
    <xf borderId="7" fillId="0" fontId="21" numFmtId="0" xfId="0" applyAlignment="1" applyBorder="1" applyFont="1">
      <alignment horizontal="center" vertical="center"/>
    </xf>
    <xf borderId="7" fillId="0" fontId="8" numFmtId="0" xfId="0" applyAlignment="1" applyBorder="1" applyFont="1">
      <alignment readingOrder="0" shrinkToFit="0" wrapText="1"/>
    </xf>
    <xf borderId="0" fillId="0" fontId="16" numFmtId="0" xfId="0" applyAlignment="1" applyFont="1">
      <alignment horizontal="center" readingOrder="0" vertical="center"/>
    </xf>
    <xf borderId="7" fillId="0" fontId="21" numFmtId="0" xfId="0" applyAlignment="1" applyBorder="1" applyFont="1">
      <alignment horizontal="center" readingOrder="0" shrinkToFit="0" vertical="center" wrapText="1"/>
    </xf>
    <xf borderId="7" fillId="0" fontId="21" numFmtId="0" xfId="0" applyAlignment="1" applyBorder="1" applyFont="1">
      <alignment horizontal="center" readingOrder="0" vertical="center"/>
    </xf>
    <xf borderId="7" fillId="0" fontId="17" numFmtId="0" xfId="0" applyAlignment="1" applyBorder="1" applyFont="1">
      <alignment horizontal="center" readingOrder="0" vertical="center"/>
    </xf>
    <xf borderId="7" fillId="0" fontId="18" numFmtId="0" xfId="0" applyAlignment="1" applyBorder="1" applyFont="1">
      <alignment readingOrder="0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</font>
      <fill>
        <patternFill patternType="solid">
          <fgColor rgb="FFFF0000"/>
          <bgColor rgb="FFFF0000"/>
        </patternFill>
      </fill>
      <border/>
    </dxf>
    <dxf>
      <font>
        <color rgb="FFFF0000"/>
      </font>
      <fill>
        <patternFill patternType="none"/>
      </fill>
      <border/>
    </dxf>
  </dxfs>
  <tableStyles count="12">
    <tableStyle count="3" pivot="0" name="MODELO LISTA DE COMPROBACION - -style">
      <tableStyleElement dxfId="1" type="headerRow"/>
      <tableStyleElement dxfId="2" type="firstRowStripe"/>
      <tableStyleElement dxfId="3" type="secondRowStripe"/>
    </tableStyle>
    <tableStyle count="3" pivot="0" name="MODELO LISTA DE COMPROBACION - -style 2">
      <tableStyleElement dxfId="4" type="headerRow"/>
      <tableStyleElement dxfId="5" type="firstRowStripe"/>
      <tableStyleElement dxfId="3" type="secondRowStripe"/>
    </tableStyle>
    <tableStyle count="3" pivot="0" name="MODELO LISTA DE COMPROBACION - -style 3">
      <tableStyleElement dxfId="6" type="headerRow"/>
      <tableStyleElement dxfId="7" type="firstRowStripe"/>
      <tableStyleElement dxfId="3" type="secondRowStripe"/>
    </tableStyle>
    <tableStyle count="3" pivot="0" name="Hoja 1-style">
      <tableStyleElement dxfId="1" type="headerRow"/>
      <tableStyleElement dxfId="2" type="firstRowStripe"/>
      <tableStyleElement dxfId="3" type="secondRowStripe"/>
    </tableStyle>
    <tableStyle count="3" pivot="0" name="Hoja 1-style 2">
      <tableStyleElement dxfId="4" type="headerRow"/>
      <tableStyleElement dxfId="5" type="firstRowStripe"/>
      <tableStyleElement dxfId="3" type="secondRowStripe"/>
    </tableStyle>
    <tableStyle count="3" pivot="0" name="Hoja 1-style 3">
      <tableStyleElement dxfId="6" type="headerRow"/>
      <tableStyleElement dxfId="7" type="firstRowStripe"/>
      <tableStyleElement dxfId="3" type="secondRowStripe"/>
    </tableStyle>
    <tableStyle count="3" pivot="0" name="Hoja 2-style">
      <tableStyleElement dxfId="1" type="headerRow"/>
      <tableStyleElement dxfId="2" type="firstRowStripe"/>
      <tableStyleElement dxfId="3" type="secondRowStripe"/>
    </tableStyle>
    <tableStyle count="3" pivot="0" name="Hoja 2-style 2">
      <tableStyleElement dxfId="4" type="headerRow"/>
      <tableStyleElement dxfId="5" type="firstRowStripe"/>
      <tableStyleElement dxfId="3" type="secondRowStripe"/>
    </tableStyle>
    <tableStyle count="3" pivot="0" name="Hoja 2-style 3">
      <tableStyleElement dxfId="6" type="headerRow"/>
      <tableStyleElement dxfId="7" type="firstRowStripe"/>
      <tableStyleElement dxfId="3" type="secondRowStripe"/>
    </tableStyle>
    <tableStyle count="3" pivot="0" name="Hoja 3-style">
      <tableStyleElement dxfId="1" type="headerRow"/>
      <tableStyleElement dxfId="2" type="firstRowStripe"/>
      <tableStyleElement dxfId="3" type="secondRowStripe"/>
    </tableStyle>
    <tableStyle count="3" pivot="0" name="Hoja 3-style 2">
      <tableStyleElement dxfId="4" type="headerRow"/>
      <tableStyleElement dxfId="5" type="firstRowStripe"/>
      <tableStyleElement dxfId="3" type="secondRowStripe"/>
    </tableStyle>
    <tableStyle count="3" pivot="0" name="Hoja 3-style 3">
      <tableStyleElement dxfId="6" type="headerRow"/>
      <tableStyleElement dxfId="7" type="firstRowStripe"/>
      <tableStyleElement dxfId="3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'MODELO LISTA DE COMPROBACION - '!$B$41:$B$43</c:f>
            </c:strRef>
          </c:cat>
          <c:val>
            <c:numRef>
              <c:f>'MODELO LISTA DE COMPROBACION - 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1'!$B$44:$B$46</c:f>
            </c:strRef>
          </c:cat>
          <c:val>
            <c:numRef>
              <c:f>'Hoja 1'!$C$44:$C$46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2'!$B$41:$B$43</c:f>
            </c:strRef>
          </c:cat>
          <c:val>
            <c:numRef>
              <c:f>'Hoja 2'!$C$41:$C$43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3'!$B$44:$B$46</c:f>
            </c:strRef>
          </c:cat>
          <c:val>
            <c:numRef>
              <c:f>'Hoja 3'!$C$44:$C$46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714375</xdr:colOff>
      <xdr:row>34</xdr:row>
      <xdr:rowOff>180975</xdr:rowOff>
    </xdr:from>
    <xdr:ext cx="4286250" cy="2143125"/>
    <xdr:graphicFrame>
      <xdr:nvGraphicFramePr>
        <xdr:cNvPr id="597510130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323850</xdr:colOff>
      <xdr:row>34</xdr:row>
      <xdr:rowOff>152400</xdr:rowOff>
    </xdr:from>
    <xdr:ext cx="4286250" cy="2143125"/>
    <xdr:graphicFrame>
      <xdr:nvGraphicFramePr>
        <xdr:cNvPr id="1582285396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108985957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371475</xdr:colOff>
      <xdr:row>35</xdr:row>
      <xdr:rowOff>409575</xdr:rowOff>
    </xdr:from>
    <xdr:ext cx="4286250" cy="2143125"/>
    <xdr:graphicFrame>
      <xdr:nvGraphicFramePr>
        <xdr:cNvPr id="1939542152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7:D16" displayName="Table_1" name="Table_1" id="1">
  <tableColumns count="4">
    <tableColumn name="No." id="1"/>
    <tableColumn name="Pregunta" id="2"/>
    <tableColumn name="SI" id="3"/>
    <tableColumn name="NO " id="4"/>
  </tableColumns>
  <tableStyleInfo name="MODELO LISTA DE COMPROBACION - -style" showColumnStripes="0" showFirstColumn="1" showLastColumn="1" showRowStripes="1"/>
</table>
</file>

<file path=xl/tables/table2.xml><?xml version="1.0" encoding="utf-8"?>
<table xmlns="http://schemas.openxmlformats.org/spreadsheetml/2006/main" ref="A21:D26" displayName="Table_2" name="Table_2" id="2">
  <tableColumns count="4">
    <tableColumn name="No." id="1"/>
    <tableColumn name="Pregunta" id="2"/>
    <tableColumn name="SI" id="3"/>
    <tableColumn name="NO " id="4"/>
  </tableColumns>
  <tableStyleInfo name="MODELO LISTA DE COMPROBACION - -style 2" showColumnStripes="0" showFirstColumn="1" showLastColumn="1" showRowStripes="1"/>
</table>
</file>

<file path=xl/tables/table3.xml><?xml version="1.0" encoding="utf-8"?>
<table xmlns="http://schemas.openxmlformats.org/spreadsheetml/2006/main" ref="A31:D34" displayName="Table_3" name="Table_3" id="3">
  <tableColumns count="4">
    <tableColumn name="No." id="1"/>
    <tableColumn name="Pregunta" id="2"/>
    <tableColumn name="SI" id="3"/>
    <tableColumn name="NO " id="4"/>
  </tableColumns>
  <tableStyleInfo name="MODELO LISTA DE COMPROBACION - -style 3" showColumnStripes="0" showFirstColumn="1" showLastColumn="1" showRowStripes="1"/>
</table>
</file>

<file path=xl/tables/table4.xml><?xml version="1.0" encoding="utf-8"?>
<table xmlns="http://schemas.openxmlformats.org/spreadsheetml/2006/main" ref="A10:D19" displayName="Table_4" name="Table_4" id="4">
  <tableColumns count="4">
    <tableColumn name="No." id="1"/>
    <tableColumn name="Pregunta" id="2"/>
    <tableColumn name="SI" id="3"/>
    <tableColumn name="NO " id="4"/>
  </tableColumns>
  <tableStyleInfo name="Hoja 1-style" showColumnStripes="0" showFirstColumn="1" showLastColumn="1" showRowStripes="1"/>
</table>
</file>

<file path=xl/tables/table5.xml><?xml version="1.0" encoding="utf-8"?>
<table xmlns="http://schemas.openxmlformats.org/spreadsheetml/2006/main" ref="A24:D29" displayName="Table_5" name="Table_5" id="5">
  <tableColumns count="4">
    <tableColumn name="No." id="1"/>
    <tableColumn name="Pregunta" id="2"/>
    <tableColumn name="SI" id="3"/>
    <tableColumn name="NO " id="4"/>
  </tableColumns>
  <tableStyleInfo name="Hoja 1-style 2" showColumnStripes="0" showFirstColumn="1" showLastColumn="1" showRowStripes="1"/>
</table>
</file>

<file path=xl/tables/table6.xml><?xml version="1.0" encoding="utf-8"?>
<table xmlns="http://schemas.openxmlformats.org/spreadsheetml/2006/main" ref="A34:D37" displayName="Table_6" name="Table_6" id="6">
  <tableColumns count="4">
    <tableColumn name="No." id="1"/>
    <tableColumn name="Pregunta" id="2"/>
    <tableColumn name="SI" id="3"/>
    <tableColumn name="NO " id="4"/>
  </tableColumns>
  <tableStyleInfo name="Hoja 1-style 3" showColumnStripes="0" showFirstColumn="1" showLastColumn="1" showRowStripes="1"/>
</table>
</file>

<file path=xl/tables/table7.xml><?xml version="1.0" encoding="utf-8"?>
<table xmlns="http://schemas.openxmlformats.org/spreadsheetml/2006/main" ref="A7:D16" displayName="Table_7" name="Table_7" id="7">
  <tableColumns count="4">
    <tableColumn name="No." id="1"/>
    <tableColumn name="Pregunta" id="2"/>
    <tableColumn name="SI" id="3"/>
    <tableColumn name="NO " id="4"/>
  </tableColumns>
  <tableStyleInfo name="Hoja 2-style" showColumnStripes="0" showFirstColumn="1" showLastColumn="1" showRowStripes="1"/>
</table>
</file>

<file path=xl/tables/table8.xml><?xml version="1.0" encoding="utf-8"?>
<table xmlns="http://schemas.openxmlformats.org/spreadsheetml/2006/main" ref="A21:D26" displayName="Table_8" name="Table_8" id="8">
  <tableColumns count="4">
    <tableColumn name="No." id="1"/>
    <tableColumn name="Pregunta" id="2"/>
    <tableColumn name="SI" id="3"/>
    <tableColumn name="NO " id="4"/>
  </tableColumns>
  <tableStyleInfo name="Hoja 2-style 2" showColumnStripes="0" showFirstColumn="1" showLastColumn="1" showRowStripes="1"/>
</table>
</file>

<file path=xl/tables/table9.xml><?xml version="1.0" encoding="utf-8"?>
<table xmlns="http://schemas.openxmlformats.org/spreadsheetml/2006/main" ref="A31:D34" displayName="Table_9" name="Table_9" id="9">
  <tableColumns count="4">
    <tableColumn name="No." id="1"/>
    <tableColumn name="Pregunta" id="2"/>
    <tableColumn name="SI" id="3"/>
    <tableColumn name="NO " id="4"/>
  </tableColumns>
  <tableStyleInfo name="Hoja 2-style 3" showColumnStripes="0" showFirstColumn="1" showLastColumn="1" showRowStripes="1"/>
</table>
</file>

<file path=xl/tables/table10.xml><?xml version="1.0" encoding="utf-8"?>
<table xmlns="http://schemas.openxmlformats.org/spreadsheetml/2006/main" ref="A10:D19" displayName="Table_10" name="Table_10" id="10">
  <tableColumns count="4">
    <tableColumn name="No." id="1"/>
    <tableColumn name="Pregunta" id="2"/>
    <tableColumn name="SI" id="3"/>
    <tableColumn name="NO " id="4"/>
  </tableColumns>
  <tableStyleInfo name="Hoja 3-style" showColumnStripes="0" showFirstColumn="1" showLastColumn="1" showRowStripes="1"/>
</table>
</file>

<file path=xl/tables/table11.xml><?xml version="1.0" encoding="utf-8"?>
<table xmlns="http://schemas.openxmlformats.org/spreadsheetml/2006/main" ref="A24:D29" displayName="Table_11" name="Table_11" id="11">
  <tableColumns count="4">
    <tableColumn name="No." id="1"/>
    <tableColumn name="Pregunta" id="2"/>
    <tableColumn name="SI" id="3"/>
    <tableColumn name="NO " id="4"/>
  </tableColumns>
  <tableStyleInfo name="Hoja 3-style 2" showColumnStripes="0" showFirstColumn="1" showLastColumn="1" showRowStripes="1"/>
</table>
</file>

<file path=xl/tables/table12.xml><?xml version="1.0" encoding="utf-8"?>
<table xmlns="http://schemas.openxmlformats.org/spreadsheetml/2006/main" ref="A34:D37" displayName="Table_12" name="Table_12" id="12">
  <tableColumns count="4">
    <tableColumn name="No." id="1"/>
    <tableColumn name="Pregunta" id="2"/>
    <tableColumn name="SI" id="3"/>
    <tableColumn name="NO " id="4"/>
  </tableColumns>
  <tableStyleInfo name="Hoja 3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7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10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57"/>
    <col customWidth="1" min="2" max="2" width="4.43"/>
    <col customWidth="1" min="3" max="3" width="3.71"/>
    <col customWidth="1" min="4" max="4" width="34.86"/>
    <col customWidth="1" min="5" max="5" width="9.71"/>
    <col customWidth="1" min="6" max="6" width="42.71"/>
    <col customWidth="1" min="7" max="7" width="10.14"/>
    <col customWidth="1" hidden="1" min="8" max="8" width="4.71"/>
    <col customWidth="1" min="9" max="9" width="42.71"/>
    <col customWidth="1" min="10" max="10" width="9.86"/>
    <col customWidth="1" min="11" max="11" width="43.29"/>
    <col customWidth="1" min="12" max="12" width="11.29"/>
    <col customWidth="1" min="13" max="13" width="43.14"/>
  </cols>
  <sheetData>
    <row r="1" ht="14.25" customHeight="1">
      <c r="C1" s="1"/>
    </row>
    <row r="2" ht="14.25" customHeight="1">
      <c r="C2" s="1"/>
    </row>
    <row r="3" ht="30.0" customHeight="1">
      <c r="C3" s="2" t="s">
        <v>0</v>
      </c>
    </row>
    <row r="4" ht="30.0" customHeight="1"/>
    <row r="5" ht="30.0" customHeight="1">
      <c r="C5" s="2"/>
      <c r="D5" s="3" t="s">
        <v>1</v>
      </c>
      <c r="E5" s="4" t="s">
        <v>2</v>
      </c>
    </row>
    <row r="6" ht="55.5" customHeight="1">
      <c r="C6" s="1"/>
      <c r="F6" s="5" t="s">
        <v>3</v>
      </c>
      <c r="G6" s="6"/>
      <c r="H6" s="6"/>
      <c r="I6" s="6"/>
      <c r="J6" s="6"/>
      <c r="K6" s="7"/>
    </row>
    <row r="7" ht="45.0" customHeight="1">
      <c r="B7" s="8" t="s">
        <v>4</v>
      </c>
      <c r="C7" s="9" t="s">
        <v>5</v>
      </c>
      <c r="D7" s="10"/>
      <c r="E7" s="11" t="s">
        <v>6</v>
      </c>
      <c r="F7" s="12" t="s">
        <v>7</v>
      </c>
      <c r="G7" s="11" t="s">
        <v>6</v>
      </c>
      <c r="H7" s="13"/>
      <c r="I7" s="12" t="s">
        <v>8</v>
      </c>
      <c r="J7" s="11" t="s">
        <v>6</v>
      </c>
      <c r="K7" s="12" t="s">
        <v>9</v>
      </c>
      <c r="L7" s="11" t="s">
        <v>6</v>
      </c>
      <c r="M7" s="12" t="s">
        <v>10</v>
      </c>
    </row>
    <row r="8" ht="60.0" customHeight="1">
      <c r="B8" s="14"/>
      <c r="C8" s="15"/>
      <c r="D8" s="16"/>
      <c r="E8" s="14"/>
      <c r="F8" s="14"/>
      <c r="G8" s="14"/>
      <c r="H8" s="13"/>
      <c r="I8" s="14"/>
      <c r="J8" s="14"/>
      <c r="K8" s="14"/>
      <c r="L8" s="14"/>
      <c r="M8" s="14"/>
    </row>
    <row r="9" ht="75.75" customHeight="1">
      <c r="B9" s="17">
        <v>1.0</v>
      </c>
      <c r="C9" s="18" t="s">
        <v>11</v>
      </c>
      <c r="D9" s="7"/>
      <c r="E9" s="19" t="s">
        <v>12</v>
      </c>
      <c r="F9" s="20" t="s">
        <v>13</v>
      </c>
      <c r="G9" s="21" t="s">
        <v>12</v>
      </c>
      <c r="H9" s="22"/>
      <c r="I9" s="20" t="s">
        <v>14</v>
      </c>
      <c r="J9" s="21" t="s">
        <v>12</v>
      </c>
      <c r="K9" s="20" t="s">
        <v>15</v>
      </c>
      <c r="L9" s="21" t="s">
        <v>12</v>
      </c>
      <c r="M9" s="20" t="s">
        <v>16</v>
      </c>
    </row>
    <row r="10">
      <c r="B10" s="17">
        <v>2.0</v>
      </c>
      <c r="C10" s="18" t="s">
        <v>17</v>
      </c>
      <c r="D10" s="7"/>
      <c r="E10" s="23" t="s">
        <v>18</v>
      </c>
      <c r="F10" s="24" t="s">
        <v>19</v>
      </c>
      <c r="G10" s="23" t="s">
        <v>18</v>
      </c>
      <c r="I10" s="24" t="s">
        <v>20</v>
      </c>
      <c r="J10" s="23" t="s">
        <v>18</v>
      </c>
      <c r="K10" s="24" t="s">
        <v>21</v>
      </c>
      <c r="L10" s="23" t="s">
        <v>18</v>
      </c>
      <c r="M10" s="25" t="s">
        <v>22</v>
      </c>
    </row>
    <row r="11" ht="64.5" customHeight="1">
      <c r="B11" s="17">
        <v>3.0</v>
      </c>
      <c r="C11" s="18" t="s">
        <v>23</v>
      </c>
      <c r="D11" s="7"/>
      <c r="E11" s="19" t="s">
        <v>12</v>
      </c>
      <c r="F11" s="24" t="s">
        <v>24</v>
      </c>
      <c r="G11" s="21" t="s">
        <v>12</v>
      </c>
      <c r="I11" s="24" t="s">
        <v>25</v>
      </c>
      <c r="J11" s="21" t="s">
        <v>12</v>
      </c>
      <c r="K11" s="24" t="s">
        <v>26</v>
      </c>
      <c r="L11" s="21" t="s">
        <v>12</v>
      </c>
      <c r="M11" s="24" t="s">
        <v>27</v>
      </c>
    </row>
    <row r="12" ht="71.25" customHeight="1">
      <c r="B12" s="17">
        <v>4.0</v>
      </c>
      <c r="C12" s="18" t="s">
        <v>28</v>
      </c>
      <c r="D12" s="7"/>
      <c r="E12" s="23" t="s">
        <v>18</v>
      </c>
      <c r="F12" s="25" t="s">
        <v>29</v>
      </c>
      <c r="G12" s="23" t="s">
        <v>18</v>
      </c>
      <c r="I12" s="25" t="s">
        <v>30</v>
      </c>
      <c r="J12" s="23" t="s">
        <v>18</v>
      </c>
      <c r="K12" s="25" t="s">
        <v>29</v>
      </c>
      <c r="L12" s="23" t="s">
        <v>18</v>
      </c>
      <c r="M12" s="25" t="s">
        <v>31</v>
      </c>
    </row>
    <row r="13" ht="68.25" customHeight="1">
      <c r="B13" s="17">
        <v>5.0</v>
      </c>
      <c r="C13" s="18" t="s">
        <v>32</v>
      </c>
      <c r="D13" s="7"/>
      <c r="E13" s="19" t="s">
        <v>12</v>
      </c>
      <c r="F13" s="25" t="s">
        <v>33</v>
      </c>
      <c r="G13" s="23" t="s">
        <v>18</v>
      </c>
      <c r="I13" s="25" t="s">
        <v>34</v>
      </c>
      <c r="J13" s="23" t="s">
        <v>18</v>
      </c>
      <c r="K13" s="25" t="s">
        <v>35</v>
      </c>
      <c r="L13" s="21" t="s">
        <v>12</v>
      </c>
      <c r="M13" s="25" t="s">
        <v>36</v>
      </c>
    </row>
    <row r="14">
      <c r="B14" s="17">
        <v>6.0</v>
      </c>
      <c r="C14" s="18" t="s">
        <v>37</v>
      </c>
      <c r="D14" s="7"/>
      <c r="E14" s="19" t="s">
        <v>12</v>
      </c>
      <c r="F14" s="25" t="s">
        <v>38</v>
      </c>
      <c r="G14" s="21" t="s">
        <v>12</v>
      </c>
      <c r="I14" s="25" t="s">
        <v>39</v>
      </c>
      <c r="J14" s="23" t="s">
        <v>18</v>
      </c>
      <c r="K14" s="25" t="s">
        <v>40</v>
      </c>
      <c r="L14" s="26" t="s">
        <v>12</v>
      </c>
      <c r="M14" s="25" t="s">
        <v>41</v>
      </c>
    </row>
    <row r="15">
      <c r="B15" s="17">
        <v>7.0</v>
      </c>
      <c r="C15" s="18" t="s">
        <v>42</v>
      </c>
      <c r="D15" s="7"/>
      <c r="E15" s="19" t="s">
        <v>12</v>
      </c>
      <c r="F15" s="25" t="s">
        <v>43</v>
      </c>
      <c r="G15" s="23" t="s">
        <v>18</v>
      </c>
      <c r="I15" s="25" t="s">
        <v>44</v>
      </c>
      <c r="J15" s="23" t="s">
        <v>18</v>
      </c>
      <c r="K15" s="25" t="s">
        <v>45</v>
      </c>
      <c r="L15" s="23" t="s">
        <v>18</v>
      </c>
      <c r="M15" s="27" t="s">
        <v>46</v>
      </c>
    </row>
    <row r="16" ht="84.0" customHeight="1">
      <c r="B16" s="17">
        <v>8.0</v>
      </c>
      <c r="C16" s="18" t="s">
        <v>47</v>
      </c>
      <c r="D16" s="7"/>
      <c r="E16" s="19" t="s">
        <v>12</v>
      </c>
      <c r="F16" s="25" t="s">
        <v>48</v>
      </c>
      <c r="G16" s="23" t="s">
        <v>18</v>
      </c>
      <c r="I16" s="25" t="s">
        <v>49</v>
      </c>
      <c r="J16" s="23" t="s">
        <v>18</v>
      </c>
      <c r="K16" s="25" t="s">
        <v>50</v>
      </c>
      <c r="L16" s="26" t="s">
        <v>12</v>
      </c>
      <c r="M16" s="25" t="s">
        <v>51</v>
      </c>
    </row>
    <row r="17" ht="70.5" customHeight="1">
      <c r="B17" s="17">
        <v>9.0</v>
      </c>
      <c r="C17" s="18" t="s">
        <v>52</v>
      </c>
      <c r="D17" s="7"/>
      <c r="E17" s="19" t="s">
        <v>12</v>
      </c>
      <c r="F17" s="28" t="s">
        <v>53</v>
      </c>
      <c r="G17" s="23" t="s">
        <v>18</v>
      </c>
      <c r="I17" s="28" t="s">
        <v>54</v>
      </c>
      <c r="J17" s="21" t="s">
        <v>12</v>
      </c>
      <c r="K17" s="28" t="s">
        <v>55</v>
      </c>
      <c r="L17" s="21" t="s">
        <v>12</v>
      </c>
      <c r="M17" s="28" t="s">
        <v>56</v>
      </c>
    </row>
    <row r="18" ht="74.25" customHeight="1">
      <c r="B18" s="17">
        <v>10.0</v>
      </c>
      <c r="C18" s="18" t="s">
        <v>57</v>
      </c>
      <c r="D18" s="7"/>
      <c r="E18" s="19" t="s">
        <v>12</v>
      </c>
      <c r="F18" s="25" t="s">
        <v>58</v>
      </c>
      <c r="G18" s="21" t="s">
        <v>12</v>
      </c>
      <c r="I18" s="25" t="s">
        <v>59</v>
      </c>
      <c r="J18" s="21" t="s">
        <v>12</v>
      </c>
      <c r="K18" s="25" t="s">
        <v>60</v>
      </c>
      <c r="L18" s="23" t="s">
        <v>18</v>
      </c>
      <c r="M18" s="25" t="s">
        <v>61</v>
      </c>
    </row>
    <row r="19">
      <c r="B19" s="17">
        <v>11.0</v>
      </c>
      <c r="C19" s="29" t="s">
        <v>62</v>
      </c>
      <c r="D19" s="7"/>
      <c r="E19" s="19" t="s">
        <v>12</v>
      </c>
      <c r="F19" s="25" t="s">
        <v>63</v>
      </c>
      <c r="G19" s="21" t="s">
        <v>12</v>
      </c>
      <c r="I19" s="25" t="s">
        <v>64</v>
      </c>
      <c r="J19" s="21" t="s">
        <v>12</v>
      </c>
      <c r="K19" s="25" t="s">
        <v>65</v>
      </c>
      <c r="L19" s="21" t="s">
        <v>12</v>
      </c>
      <c r="M19" s="25" t="s">
        <v>66</v>
      </c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</row>
    <row r="24" ht="14.25" customHeight="1">
      <c r="C24" s="1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G7:G8"/>
    <mergeCell ref="I7:I8"/>
    <mergeCell ref="J7:J8"/>
    <mergeCell ref="K7:K8"/>
    <mergeCell ref="L7:L8"/>
    <mergeCell ref="M7:M8"/>
    <mergeCell ref="C3:K4"/>
    <mergeCell ref="E5:K5"/>
    <mergeCell ref="F6:K6"/>
    <mergeCell ref="B7:B8"/>
    <mergeCell ref="C7:D8"/>
    <mergeCell ref="E7:E8"/>
    <mergeCell ref="F7:F8"/>
    <mergeCell ref="C16:D16"/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</mergeCells>
  <printOptions horizontalCentered="1" verticalCentered="1"/>
  <pageMargins bottom="0.7480314960629921" footer="0.0" header="0.0" left="0.47" right="0.7086614173228347" top="0.7480314960629921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5.57"/>
    <col customWidth="1" min="4" max="24" width="10.71"/>
  </cols>
  <sheetData>
    <row r="1" ht="51.0" customHeight="1">
      <c r="A1" s="30"/>
      <c r="B1" s="31" t="s">
        <v>1</v>
      </c>
      <c r="C1" s="32" t="s">
        <v>67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ht="14.25" customHeight="1">
      <c r="B2" s="33" t="s">
        <v>68</v>
      </c>
      <c r="C2" s="34">
        <v>46126.0</v>
      </c>
    </row>
    <row r="3" ht="14.25" customHeight="1">
      <c r="B3" s="33" t="s">
        <v>69</v>
      </c>
      <c r="C3" s="35" t="s">
        <v>70</v>
      </c>
    </row>
    <row r="4" ht="31.5" customHeight="1">
      <c r="B4" s="33" t="s">
        <v>71</v>
      </c>
      <c r="C4" s="35" t="s">
        <v>72</v>
      </c>
    </row>
    <row r="5" ht="14.25" customHeight="1"/>
    <row r="6">
      <c r="A6" s="36" t="s">
        <v>73</v>
      </c>
    </row>
    <row r="7">
      <c r="A7" s="37" t="s">
        <v>74</v>
      </c>
      <c r="B7" s="38" t="s">
        <v>75</v>
      </c>
      <c r="C7" s="38" t="s">
        <v>76</v>
      </c>
      <c r="D7" s="39" t="s">
        <v>77</v>
      </c>
    </row>
    <row r="8" ht="27.0" customHeight="1">
      <c r="A8" s="40">
        <v>1.0</v>
      </c>
      <c r="B8" s="41" t="s">
        <v>78</v>
      </c>
      <c r="C8" s="42" t="s">
        <v>79</v>
      </c>
      <c r="D8" s="43"/>
    </row>
    <row r="9" ht="27.0" customHeight="1">
      <c r="A9" s="40">
        <v>2.0</v>
      </c>
      <c r="B9" s="41" t="s">
        <v>80</v>
      </c>
      <c r="C9" s="44"/>
      <c r="D9" s="45" t="s">
        <v>79</v>
      </c>
    </row>
    <row r="10" ht="54.75" customHeight="1">
      <c r="A10" s="40">
        <v>3.0</v>
      </c>
      <c r="B10" s="41" t="s">
        <v>81</v>
      </c>
      <c r="C10" s="42" t="s">
        <v>79</v>
      </c>
      <c r="D10" s="43"/>
    </row>
    <row r="11" ht="30.0" customHeight="1">
      <c r="A11" s="40">
        <v>4.0</v>
      </c>
      <c r="B11" s="41" t="s">
        <v>82</v>
      </c>
      <c r="C11" s="42" t="s">
        <v>79</v>
      </c>
      <c r="D11" s="43"/>
    </row>
    <row r="12" ht="30.0" customHeight="1">
      <c r="A12" s="40">
        <v>5.0</v>
      </c>
      <c r="B12" s="41" t="s">
        <v>83</v>
      </c>
      <c r="C12" s="42" t="s">
        <v>79</v>
      </c>
      <c r="D12" s="43"/>
    </row>
    <row r="13" ht="27.75" customHeight="1">
      <c r="A13" s="40">
        <v>6.0</v>
      </c>
      <c r="B13" s="41" t="s">
        <v>84</v>
      </c>
      <c r="C13" s="42" t="s">
        <v>79</v>
      </c>
      <c r="D13" s="43"/>
    </row>
    <row r="14" ht="27.0" customHeight="1">
      <c r="A14" s="40">
        <v>7.0</v>
      </c>
      <c r="B14" s="41" t="s">
        <v>85</v>
      </c>
      <c r="C14" s="42" t="s">
        <v>79</v>
      </c>
      <c r="D14" s="43"/>
    </row>
    <row r="15" ht="39.0" customHeight="1">
      <c r="A15" s="40">
        <v>8.0</v>
      </c>
      <c r="B15" s="41" t="s">
        <v>86</v>
      </c>
      <c r="C15" s="42" t="s">
        <v>79</v>
      </c>
      <c r="D15" s="43"/>
    </row>
    <row r="16" ht="63.0" customHeight="1">
      <c r="A16" s="46">
        <v>9.0</v>
      </c>
      <c r="B16" s="47" t="s">
        <v>87</v>
      </c>
      <c r="C16" s="48" t="s">
        <v>79</v>
      </c>
      <c r="D16" s="48"/>
    </row>
    <row r="17" ht="14.25" customHeight="1">
      <c r="A17" s="49" t="s">
        <v>88</v>
      </c>
      <c r="C17" s="22">
        <f>COUNTA('MODELO LISTA DE COMPROBACION - '!$C$8:$C$16)</f>
        <v>8</v>
      </c>
      <c r="D17" s="22">
        <f>COUNTA('MODELO LISTA DE COMPROBACION - '!$D$8:$D$16)</f>
        <v>1</v>
      </c>
    </row>
    <row r="18" ht="14.25" customHeight="1">
      <c r="A18" s="49" t="s">
        <v>89</v>
      </c>
      <c r="C18" s="50">
        <f t="shared" ref="C18:D18" si="1">C17/9</f>
        <v>0.8888888889</v>
      </c>
      <c r="D18" s="50">
        <f t="shared" si="1"/>
        <v>0.1111111111</v>
      </c>
    </row>
    <row r="19" ht="14.25" customHeight="1">
      <c r="A19" s="49"/>
      <c r="B19" s="49"/>
      <c r="C19" s="50"/>
      <c r="D19" s="22"/>
    </row>
    <row r="20">
      <c r="A20" s="51" t="s">
        <v>90</v>
      </c>
      <c r="B20" s="52"/>
      <c r="C20" s="52"/>
      <c r="D20" s="52"/>
    </row>
    <row r="21">
      <c r="A21" s="53" t="s">
        <v>74</v>
      </c>
      <c r="B21" s="54" t="s">
        <v>75</v>
      </c>
      <c r="C21" s="55" t="s">
        <v>76</v>
      </c>
      <c r="D21" s="56" t="s">
        <v>77</v>
      </c>
    </row>
    <row r="22" ht="14.25" customHeight="1">
      <c r="A22" s="40">
        <v>1.0</v>
      </c>
      <c r="B22" s="41" t="s">
        <v>91</v>
      </c>
      <c r="C22" s="48" t="s">
        <v>79</v>
      </c>
      <c r="D22" s="43"/>
    </row>
    <row r="23" ht="28.5" customHeight="1">
      <c r="A23" s="40">
        <v>2.0</v>
      </c>
      <c r="B23" s="41" t="s">
        <v>92</v>
      </c>
      <c r="C23" s="48" t="s">
        <v>79</v>
      </c>
      <c r="D23" s="43"/>
    </row>
    <row r="24" ht="30.75" customHeight="1">
      <c r="A24" s="40">
        <v>3.0</v>
      </c>
      <c r="B24" s="41" t="s">
        <v>93</v>
      </c>
      <c r="C24" s="48" t="s">
        <v>79</v>
      </c>
      <c r="D24" s="43"/>
    </row>
    <row r="25" ht="30.0" customHeight="1">
      <c r="A25" s="40">
        <v>4.0</v>
      </c>
      <c r="B25" s="41" t="s">
        <v>94</v>
      </c>
      <c r="C25" s="48" t="s">
        <v>79</v>
      </c>
      <c r="D25" s="43"/>
    </row>
    <row r="26" ht="30.75" customHeight="1">
      <c r="A26" s="46">
        <v>5.0</v>
      </c>
      <c r="B26" s="47" t="s">
        <v>95</v>
      </c>
      <c r="C26" s="48" t="s">
        <v>79</v>
      </c>
      <c r="D26" s="57"/>
    </row>
    <row r="27" ht="14.25" customHeight="1">
      <c r="A27" s="49" t="s">
        <v>88</v>
      </c>
      <c r="C27" s="22">
        <f>COUNTA('MODELO LISTA DE COMPROBACION - '!$C$22:$C$26)</f>
        <v>5</v>
      </c>
      <c r="D27" s="22">
        <f>COUNTA('MODELO LISTA DE COMPROBACION - '!$D$22:$D$26)</f>
        <v>0</v>
      </c>
    </row>
    <row r="28" ht="14.25" customHeight="1">
      <c r="A28" s="49" t="s">
        <v>89</v>
      </c>
      <c r="C28" s="50">
        <f t="shared" ref="C28:D28" si="2">C27/5</f>
        <v>1</v>
      </c>
      <c r="D28" s="50">
        <f t="shared" si="2"/>
        <v>0</v>
      </c>
    </row>
    <row r="29" ht="14.25" customHeight="1">
      <c r="A29" s="49"/>
      <c r="B29" s="49"/>
      <c r="C29" s="50"/>
      <c r="D29" s="22"/>
    </row>
    <row r="30">
      <c r="A30" s="36" t="s">
        <v>96</v>
      </c>
    </row>
    <row r="31" ht="20.25" customHeight="1">
      <c r="A31" s="53" t="s">
        <v>74</v>
      </c>
      <c r="B31" s="54" t="s">
        <v>75</v>
      </c>
      <c r="C31" s="55" t="s">
        <v>76</v>
      </c>
      <c r="D31" s="56" t="s">
        <v>77</v>
      </c>
    </row>
    <row r="32" ht="29.25" customHeight="1">
      <c r="A32" s="40">
        <v>1.0</v>
      </c>
      <c r="B32" s="41" t="s">
        <v>97</v>
      </c>
      <c r="C32" s="48" t="s">
        <v>79</v>
      </c>
      <c r="D32" s="58"/>
    </row>
    <row r="33" ht="45.75" customHeight="1">
      <c r="A33" s="40">
        <v>2.0</v>
      </c>
      <c r="B33" s="41" t="s">
        <v>98</v>
      </c>
      <c r="C33" s="58"/>
      <c r="D33" s="48" t="s">
        <v>79</v>
      </c>
    </row>
    <row r="34" ht="40.5" customHeight="1">
      <c r="A34" s="46">
        <v>3.0</v>
      </c>
      <c r="B34" s="47" t="s">
        <v>99</v>
      </c>
      <c r="C34" s="48"/>
      <c r="D34" s="48" t="s">
        <v>79</v>
      </c>
    </row>
    <row r="35" ht="14.25" customHeight="1">
      <c r="A35" s="49" t="s">
        <v>88</v>
      </c>
      <c r="C35" s="22">
        <f>COUNTA('MODELO LISTA DE COMPROBACION - '!$C$32:$C$34)</f>
        <v>1</v>
      </c>
      <c r="D35" s="22">
        <f>COUNTA('MODELO LISTA DE COMPROBACION - '!$D$32:$D$34)</f>
        <v>2</v>
      </c>
    </row>
    <row r="36" ht="14.25" customHeight="1">
      <c r="A36" s="49" t="s">
        <v>89</v>
      </c>
      <c r="C36" s="50">
        <f t="shared" ref="C36:D36" si="3">C35/3</f>
        <v>0.3333333333</v>
      </c>
      <c r="D36" s="50">
        <f t="shared" si="3"/>
        <v>0.6666666667</v>
      </c>
    </row>
    <row r="37" ht="14.25" customHeight="1"/>
    <row r="38" ht="14.25" customHeight="1"/>
    <row r="39" ht="14.25" customHeight="1"/>
    <row r="40" ht="14.25" customHeight="1">
      <c r="A40" s="59" t="s">
        <v>100</v>
      </c>
    </row>
    <row r="41" ht="30.0" customHeight="1">
      <c r="B41" s="30" t="s">
        <v>101</v>
      </c>
      <c r="C41" s="22">
        <v>89.0</v>
      </c>
    </row>
    <row r="42" ht="30.0" customHeight="1">
      <c r="B42" s="30" t="s">
        <v>90</v>
      </c>
      <c r="C42" s="22">
        <v>100.0</v>
      </c>
    </row>
    <row r="43" ht="30.0" customHeight="1">
      <c r="B43" s="30" t="s">
        <v>96</v>
      </c>
      <c r="C43" s="60">
        <v>33.0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</sheetData>
  <mergeCells count="14">
    <mergeCell ref="C1:D1"/>
    <mergeCell ref="C2:D2"/>
    <mergeCell ref="C3:D3"/>
    <mergeCell ref="C4:D4"/>
    <mergeCell ref="A6:D6"/>
    <mergeCell ref="A17:B17"/>
    <mergeCell ref="A20:D20"/>
    <mergeCell ref="A18:B18"/>
    <mergeCell ref="A27:B27"/>
    <mergeCell ref="A28:B28"/>
    <mergeCell ref="A30:D30"/>
    <mergeCell ref="A35:B35"/>
    <mergeCell ref="A36:B36"/>
    <mergeCell ref="A40:C40"/>
  </mergeCells>
  <conditionalFormatting sqref="A32:D34">
    <cfRule type="containsText" dxfId="8" priority="1" operator="containsText" text="X">
      <formula>NOT(ISERROR(SEARCH(("X"),(A32))))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C32:D34">
    <cfRule type="containsText" dxfId="9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5.57"/>
    <col customWidth="1" min="4" max="24" width="10.71"/>
  </cols>
  <sheetData>
    <row r="1" ht="14.25" customHeight="1">
      <c r="C1" s="22"/>
    </row>
    <row r="2" ht="14.25" customHeight="1"/>
    <row r="3" ht="14.25" customHeight="1"/>
    <row r="4" ht="14.25" customHeight="1">
      <c r="A4" s="30"/>
      <c r="B4" s="31" t="s">
        <v>1</v>
      </c>
      <c r="C4" s="32" t="s">
        <v>67</v>
      </c>
      <c r="E4" s="30"/>
      <c r="F4" s="30"/>
      <c r="G4" s="30"/>
      <c r="H4" s="30"/>
      <c r="I4" s="30"/>
      <c r="J4" s="30"/>
      <c r="K4" s="30"/>
      <c r="L4" s="30"/>
    </row>
    <row r="5" ht="14.25" customHeight="1">
      <c r="B5" s="33" t="s">
        <v>68</v>
      </c>
      <c r="C5" s="34">
        <v>46126.0</v>
      </c>
    </row>
    <row r="6" ht="14.25" customHeight="1">
      <c r="B6" s="33" t="s">
        <v>69</v>
      </c>
      <c r="C6" s="35" t="s">
        <v>102</v>
      </c>
    </row>
    <row r="7" ht="27.75" customHeight="1">
      <c r="B7" s="33" t="s">
        <v>71</v>
      </c>
      <c r="C7" s="35" t="s">
        <v>103</v>
      </c>
    </row>
    <row r="8" ht="14.25" customHeight="1"/>
    <row r="9" ht="27.0" customHeight="1">
      <c r="A9" s="36" t="s">
        <v>73</v>
      </c>
    </row>
    <row r="10">
      <c r="A10" s="37" t="s">
        <v>74</v>
      </c>
      <c r="B10" s="38" t="s">
        <v>75</v>
      </c>
      <c r="C10" s="38" t="s">
        <v>76</v>
      </c>
      <c r="D10" s="39" t="s">
        <v>77</v>
      </c>
    </row>
    <row r="11" ht="29.25" customHeight="1">
      <c r="A11" s="40">
        <v>1.0</v>
      </c>
      <c r="B11" s="41" t="s">
        <v>78</v>
      </c>
      <c r="C11" s="44" t="s">
        <v>104</v>
      </c>
      <c r="D11" s="43"/>
    </row>
    <row r="12" ht="26.25" customHeight="1">
      <c r="A12" s="40">
        <v>2.0</v>
      </c>
      <c r="B12" s="41" t="s">
        <v>80</v>
      </c>
      <c r="C12" s="44" t="s">
        <v>104</v>
      </c>
      <c r="D12" s="43"/>
    </row>
    <row r="13" ht="64.5" customHeight="1">
      <c r="A13" s="40">
        <v>3.0</v>
      </c>
      <c r="B13" s="41" t="s">
        <v>81</v>
      </c>
      <c r="C13" s="44" t="s">
        <v>104</v>
      </c>
      <c r="D13" s="43"/>
    </row>
    <row r="14" ht="36.0" customHeight="1">
      <c r="A14" s="40">
        <v>4.0</v>
      </c>
      <c r="B14" s="41" t="s">
        <v>82</v>
      </c>
      <c r="C14" s="44" t="s">
        <v>104</v>
      </c>
      <c r="D14" s="43"/>
    </row>
    <row r="15" ht="30.0" customHeight="1">
      <c r="A15" s="40">
        <v>5.0</v>
      </c>
      <c r="B15" s="41" t="s">
        <v>83</v>
      </c>
      <c r="C15" s="58"/>
      <c r="D15" s="44" t="s">
        <v>104</v>
      </c>
    </row>
    <row r="16" ht="36.0" customHeight="1">
      <c r="A16" s="40">
        <v>6.0</v>
      </c>
      <c r="B16" s="41" t="s">
        <v>84</v>
      </c>
      <c r="C16" s="44" t="s">
        <v>104</v>
      </c>
      <c r="D16" s="43"/>
    </row>
    <row r="17" ht="45.75" customHeight="1">
      <c r="A17" s="40">
        <v>7.0</v>
      </c>
      <c r="B17" s="41" t="s">
        <v>85</v>
      </c>
      <c r="C17" s="44" t="s">
        <v>104</v>
      </c>
      <c r="D17" s="43"/>
    </row>
    <row r="18" ht="49.5" customHeight="1">
      <c r="A18" s="40">
        <v>8.0</v>
      </c>
      <c r="B18" s="41" t="s">
        <v>86</v>
      </c>
      <c r="C18" s="42" t="s">
        <v>79</v>
      </c>
      <c r="D18" s="43"/>
    </row>
    <row r="19" ht="60.75" customHeight="1">
      <c r="A19" s="46">
        <v>9.0</v>
      </c>
      <c r="B19" s="47" t="s">
        <v>87</v>
      </c>
      <c r="C19" s="58"/>
      <c r="D19" s="58" t="s">
        <v>104</v>
      </c>
    </row>
    <row r="20" ht="14.25" customHeight="1">
      <c r="A20" s="49" t="s">
        <v>88</v>
      </c>
      <c r="C20" s="22">
        <f>COUNTA('Hoja 1'!$C$11:$C$19)</f>
        <v>7</v>
      </c>
      <c r="D20" s="22">
        <f>COUNTA('Hoja 1'!$D$11:$D$19)</f>
        <v>2</v>
      </c>
    </row>
    <row r="21" ht="14.25" customHeight="1">
      <c r="A21" s="49" t="s">
        <v>89</v>
      </c>
      <c r="C21" s="50">
        <f t="shared" ref="C21:D21" si="1">C20/9</f>
        <v>0.7777777778</v>
      </c>
      <c r="D21" s="50">
        <f t="shared" si="1"/>
        <v>0.2222222222</v>
      </c>
    </row>
    <row r="22" ht="14.25" customHeight="1">
      <c r="A22" s="49"/>
      <c r="B22" s="49"/>
      <c r="C22" s="50"/>
      <c r="D22" s="22"/>
    </row>
    <row r="23" ht="29.25" customHeight="1">
      <c r="A23" s="51" t="s">
        <v>90</v>
      </c>
      <c r="B23" s="52"/>
      <c r="C23" s="52"/>
      <c r="D23" s="52"/>
    </row>
    <row r="24">
      <c r="A24" s="53" t="s">
        <v>74</v>
      </c>
      <c r="B24" s="54" t="s">
        <v>75</v>
      </c>
      <c r="C24" s="55" t="s">
        <v>76</v>
      </c>
      <c r="D24" s="56" t="s">
        <v>77</v>
      </c>
    </row>
    <row r="25" ht="14.25" customHeight="1">
      <c r="A25" s="40">
        <v>1.0</v>
      </c>
      <c r="B25" s="41" t="s">
        <v>91</v>
      </c>
      <c r="C25" s="58" t="s">
        <v>104</v>
      </c>
      <c r="D25" s="43"/>
    </row>
    <row r="26" ht="14.25" customHeight="1">
      <c r="A26" s="40">
        <v>2.0</v>
      </c>
      <c r="B26" s="41" t="s">
        <v>92</v>
      </c>
      <c r="C26" s="58" t="s">
        <v>104</v>
      </c>
      <c r="D26" s="43"/>
    </row>
    <row r="27" ht="14.25" customHeight="1">
      <c r="A27" s="40">
        <v>3.0</v>
      </c>
      <c r="B27" s="41" t="s">
        <v>93</v>
      </c>
      <c r="C27" s="58" t="s">
        <v>104</v>
      </c>
      <c r="D27" s="43"/>
    </row>
    <row r="28" ht="14.25" customHeight="1">
      <c r="A28" s="40">
        <v>4.0</v>
      </c>
      <c r="B28" s="41" t="s">
        <v>94</v>
      </c>
      <c r="C28" s="58" t="s">
        <v>104</v>
      </c>
      <c r="D28" s="43"/>
    </row>
    <row r="29" ht="14.25" customHeight="1">
      <c r="A29" s="46">
        <v>5.0</v>
      </c>
      <c r="B29" s="47" t="s">
        <v>95</v>
      </c>
      <c r="C29" s="58" t="s">
        <v>104</v>
      </c>
      <c r="D29" s="57"/>
    </row>
    <row r="30" ht="14.25" customHeight="1">
      <c r="A30" s="49" t="s">
        <v>88</v>
      </c>
      <c r="C30" s="22">
        <f>COUNTA('Hoja 1'!$C$25:$C$29)</f>
        <v>5</v>
      </c>
      <c r="D30" s="22">
        <f>COUNTA('Hoja 1'!$D$25:$D$29)</f>
        <v>0</v>
      </c>
    </row>
    <row r="31" ht="14.25" customHeight="1">
      <c r="A31" s="49" t="s">
        <v>89</v>
      </c>
      <c r="C31" s="50">
        <f t="shared" ref="C31:D31" si="2">C30/5</f>
        <v>1</v>
      </c>
      <c r="D31" s="50">
        <f t="shared" si="2"/>
        <v>0</v>
      </c>
    </row>
    <row r="32" ht="14.25" customHeight="1">
      <c r="A32" s="49"/>
      <c r="B32" s="49"/>
      <c r="C32" s="50"/>
      <c r="D32" s="22"/>
    </row>
    <row r="33" ht="26.25" customHeight="1">
      <c r="A33" s="36" t="s">
        <v>96</v>
      </c>
    </row>
    <row r="34">
      <c r="A34" s="53" t="s">
        <v>74</v>
      </c>
      <c r="B34" s="54" t="s">
        <v>75</v>
      </c>
      <c r="C34" s="55" t="s">
        <v>76</v>
      </c>
      <c r="D34" s="56" t="s">
        <v>77</v>
      </c>
    </row>
    <row r="35" ht="14.25" customHeight="1">
      <c r="A35" s="40">
        <v>1.0</v>
      </c>
      <c r="B35" s="41" t="s">
        <v>97</v>
      </c>
      <c r="C35" s="58" t="s">
        <v>104</v>
      </c>
      <c r="D35" s="58"/>
    </row>
    <row r="36" ht="14.25" customHeight="1">
      <c r="A36" s="40">
        <v>2.0</v>
      </c>
      <c r="B36" s="41" t="s">
        <v>98</v>
      </c>
      <c r="C36" s="58"/>
      <c r="D36" s="48" t="s">
        <v>79</v>
      </c>
    </row>
    <row r="37" ht="14.25" customHeight="1">
      <c r="A37" s="46">
        <v>3.0</v>
      </c>
      <c r="B37" s="47" t="s">
        <v>99</v>
      </c>
      <c r="C37" s="58"/>
      <c r="D37" s="48" t="s">
        <v>79</v>
      </c>
    </row>
    <row r="38" ht="14.25" customHeight="1">
      <c r="A38" s="49" t="s">
        <v>88</v>
      </c>
      <c r="C38" s="22">
        <f>COUNTA('Hoja 1'!$C$35:$C$37)</f>
        <v>1</v>
      </c>
      <c r="D38" s="22">
        <f>COUNTA('Hoja 1'!$D$35:$D$37)</f>
        <v>2</v>
      </c>
    </row>
    <row r="39" ht="14.25" customHeight="1">
      <c r="A39" s="49" t="s">
        <v>89</v>
      </c>
      <c r="C39" s="50">
        <f t="shared" ref="C39:D39" si="3">C38/3</f>
        <v>0.3333333333</v>
      </c>
      <c r="D39" s="50">
        <f t="shared" si="3"/>
        <v>0.6666666667</v>
      </c>
    </row>
    <row r="40" ht="14.25" customHeight="1"/>
    <row r="41" ht="14.25" customHeight="1"/>
    <row r="42" ht="14.25" customHeight="1"/>
    <row r="43" ht="14.25" customHeight="1">
      <c r="A43" s="59" t="s">
        <v>100</v>
      </c>
    </row>
    <row r="44" ht="14.25" customHeight="1">
      <c r="B44" s="30" t="s">
        <v>101</v>
      </c>
      <c r="C44" s="60">
        <v>78.0</v>
      </c>
    </row>
    <row r="45" ht="14.25" customHeight="1">
      <c r="B45" s="30" t="s">
        <v>90</v>
      </c>
      <c r="C45" s="22">
        <v>100.0</v>
      </c>
    </row>
    <row r="46" ht="14.25" customHeight="1">
      <c r="B46" s="30" t="s">
        <v>96</v>
      </c>
      <c r="C46" s="60">
        <v>33.0</v>
      </c>
    </row>
    <row r="47" ht="14.25" customHeight="1">
      <c r="C47" s="22"/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</sheetData>
  <mergeCells count="14">
    <mergeCell ref="A21:B21"/>
    <mergeCell ref="A30:B30"/>
    <mergeCell ref="A31:B31"/>
    <mergeCell ref="A33:D33"/>
    <mergeCell ref="A38:B38"/>
    <mergeCell ref="A39:B39"/>
    <mergeCell ref="A43:C43"/>
    <mergeCell ref="C4:D4"/>
    <mergeCell ref="C5:D5"/>
    <mergeCell ref="C6:D6"/>
    <mergeCell ref="C7:D7"/>
    <mergeCell ref="A9:D9"/>
    <mergeCell ref="A23:D23"/>
    <mergeCell ref="A20:B20"/>
  </mergeCells>
  <conditionalFormatting sqref="A35:D37">
    <cfRule type="containsText" dxfId="8" priority="1" operator="containsText" text="X">
      <formula>NOT(ISERROR(SEARCH(("X"),(A35))))</formula>
    </cfRule>
  </conditionalFormatting>
  <conditionalFormatting sqref="C11:D19 C25:C29 C35:D37">
    <cfRule type="containsText" dxfId="9" priority="2" operator="containsText" text="X">
      <formula>NOT(ISERROR(SEARCH(("X"),(C11))))</formula>
    </cfRule>
  </conditionalFormatting>
  <conditionalFormatting sqref="C11:D19 C25:C29 C35:D37">
    <cfRule type="containsText" dxfId="10" priority="3" operator="containsText" text="X">
      <formula>NOT(ISERROR(SEARCH(("X"),(C11))))</formula>
    </cfRule>
  </conditionalFormatting>
  <conditionalFormatting sqref="C11:D19 C25:C29 C35:D37">
    <cfRule type="containsText" dxfId="11" priority="4" operator="containsText" text="X">
      <formula>NOT(ISERROR(SEARCH(("X"),(C11))))</formula>
    </cfRule>
  </conditionalFormatting>
  <conditionalFormatting sqref="C11:D19 C25:C29 C35:D37">
    <cfRule type="containsText" dxfId="12" priority="5" operator="containsText" text="X">
      <formula>NOT(ISERROR(SEARCH(("X"),(C11))))</formula>
    </cfRule>
  </conditionalFormatting>
  <conditionalFormatting sqref="C35:D37">
    <cfRule type="containsText" dxfId="9" priority="6" operator="containsText" text="X">
      <formula>NOT(ISERROR(SEARCH(("X"),(C35))))</formula>
    </cfRule>
  </conditionalFormatting>
  <conditionalFormatting sqref="C25:D29">
    <cfRule type="containsText" dxfId="9" priority="7" operator="containsText" text="X">
      <formula>NOT(ISERROR(SEARCH(("X"),(C25))))</formula>
    </cfRule>
  </conditionalFormatting>
  <conditionalFormatting sqref="C25:D29">
    <cfRule type="containsText" dxfId="10" priority="8" operator="containsText" text="X">
      <formula>NOT(ISERROR(SEARCH(("X"),(C25))))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5.57"/>
    <col customWidth="1" min="4" max="24" width="10.71"/>
  </cols>
  <sheetData>
    <row r="1" ht="51.0" customHeight="1">
      <c r="A1" s="30"/>
      <c r="B1" s="31" t="s">
        <v>1</v>
      </c>
      <c r="C1" s="32" t="s">
        <v>67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ht="14.25" customHeight="1">
      <c r="B2" s="33" t="s">
        <v>68</v>
      </c>
      <c r="C2" s="34">
        <v>46126.0</v>
      </c>
    </row>
    <row r="3" ht="14.25" customHeight="1">
      <c r="B3" s="33" t="s">
        <v>69</v>
      </c>
      <c r="C3" s="35" t="s">
        <v>105</v>
      </c>
    </row>
    <row r="4" ht="31.5" customHeight="1">
      <c r="B4" s="33" t="s">
        <v>71</v>
      </c>
      <c r="C4" s="35" t="s">
        <v>106</v>
      </c>
    </row>
    <row r="5" ht="14.25" customHeight="1"/>
    <row r="6">
      <c r="A6" s="36" t="s">
        <v>73</v>
      </c>
    </row>
    <row r="7">
      <c r="A7" s="37" t="s">
        <v>74</v>
      </c>
      <c r="B7" s="38" t="s">
        <v>75</v>
      </c>
      <c r="C7" s="38" t="s">
        <v>76</v>
      </c>
      <c r="D7" s="39" t="s">
        <v>77</v>
      </c>
    </row>
    <row r="8" ht="27.0" customHeight="1">
      <c r="A8" s="40">
        <v>1.0</v>
      </c>
      <c r="B8" s="41" t="s">
        <v>78</v>
      </c>
      <c r="C8" s="44" t="s">
        <v>104</v>
      </c>
      <c r="D8" s="43"/>
    </row>
    <row r="9" ht="27.0" customHeight="1">
      <c r="A9" s="40">
        <v>2.0</v>
      </c>
      <c r="B9" s="41" t="s">
        <v>80</v>
      </c>
      <c r="C9" s="44" t="s">
        <v>104</v>
      </c>
      <c r="D9" s="43"/>
    </row>
    <row r="10" ht="54.75" customHeight="1">
      <c r="A10" s="40">
        <v>3.0</v>
      </c>
      <c r="B10" s="41" t="s">
        <v>81</v>
      </c>
      <c r="C10" s="44" t="s">
        <v>104</v>
      </c>
      <c r="D10" s="43"/>
    </row>
    <row r="11" ht="30.0" customHeight="1">
      <c r="A11" s="40">
        <v>4.0</v>
      </c>
      <c r="B11" s="41" t="s">
        <v>82</v>
      </c>
      <c r="C11" s="44" t="s">
        <v>104</v>
      </c>
      <c r="D11" s="43"/>
    </row>
    <row r="12" ht="30.0" customHeight="1">
      <c r="A12" s="40">
        <v>5.0</v>
      </c>
      <c r="B12" s="41" t="s">
        <v>83</v>
      </c>
      <c r="C12" s="44" t="s">
        <v>104</v>
      </c>
      <c r="D12" s="43"/>
    </row>
    <row r="13" ht="27.75" customHeight="1">
      <c r="A13" s="40">
        <v>6.0</v>
      </c>
      <c r="B13" s="41" t="s">
        <v>84</v>
      </c>
      <c r="C13" s="44" t="s">
        <v>104</v>
      </c>
      <c r="D13" s="43"/>
    </row>
    <row r="14" ht="27.0" customHeight="1">
      <c r="A14" s="40">
        <v>7.0</v>
      </c>
      <c r="B14" s="41" t="s">
        <v>85</v>
      </c>
      <c r="C14" s="44" t="s">
        <v>104</v>
      </c>
      <c r="D14" s="43"/>
    </row>
    <row r="15" ht="39.0" customHeight="1">
      <c r="A15" s="40">
        <v>8.0</v>
      </c>
      <c r="B15" s="41" t="s">
        <v>86</v>
      </c>
      <c r="C15" s="42" t="s">
        <v>79</v>
      </c>
      <c r="D15" s="43"/>
    </row>
    <row r="16" ht="63.0" customHeight="1">
      <c r="A16" s="46">
        <v>9.0</v>
      </c>
      <c r="B16" s="47" t="s">
        <v>87</v>
      </c>
      <c r="C16" s="58"/>
      <c r="D16" s="58" t="s">
        <v>104</v>
      </c>
    </row>
    <row r="17" ht="14.25" customHeight="1">
      <c r="A17" s="49" t="s">
        <v>88</v>
      </c>
      <c r="C17" s="22">
        <f>COUNTA('Hoja 2'!$C$8:$C$16)</f>
        <v>8</v>
      </c>
      <c r="D17" s="22">
        <f>COUNTA('Hoja 2'!$D$8:$D$16)</f>
        <v>1</v>
      </c>
    </row>
    <row r="18" ht="14.25" customHeight="1">
      <c r="A18" s="49" t="s">
        <v>89</v>
      </c>
      <c r="C18" s="50">
        <f t="shared" ref="C18:D18" si="1">C17/9</f>
        <v>0.8888888889</v>
      </c>
      <c r="D18" s="50">
        <f t="shared" si="1"/>
        <v>0.1111111111</v>
      </c>
    </row>
    <row r="19" ht="14.25" customHeight="1">
      <c r="A19" s="49"/>
      <c r="B19" s="49"/>
      <c r="C19" s="50"/>
      <c r="D19" s="22"/>
    </row>
    <row r="20">
      <c r="A20" s="51" t="s">
        <v>90</v>
      </c>
      <c r="B20" s="52"/>
      <c r="C20" s="52"/>
      <c r="D20" s="52"/>
    </row>
    <row r="21">
      <c r="A21" s="53" t="s">
        <v>74</v>
      </c>
      <c r="B21" s="54" t="s">
        <v>75</v>
      </c>
      <c r="C21" s="55" t="s">
        <v>76</v>
      </c>
      <c r="D21" s="56" t="s">
        <v>77</v>
      </c>
    </row>
    <row r="22" ht="14.25" customHeight="1">
      <c r="A22" s="40">
        <v>1.0</v>
      </c>
      <c r="B22" s="41" t="s">
        <v>91</v>
      </c>
      <c r="C22" s="58" t="s">
        <v>104</v>
      </c>
      <c r="D22" s="43"/>
    </row>
    <row r="23" ht="28.5" customHeight="1">
      <c r="A23" s="40">
        <v>2.0</v>
      </c>
      <c r="B23" s="41" t="s">
        <v>92</v>
      </c>
      <c r="C23" s="58" t="s">
        <v>104</v>
      </c>
      <c r="D23" s="43"/>
    </row>
    <row r="24" ht="30.75" customHeight="1">
      <c r="A24" s="40">
        <v>3.0</v>
      </c>
      <c r="B24" s="41" t="s">
        <v>93</v>
      </c>
      <c r="C24" s="58" t="s">
        <v>104</v>
      </c>
      <c r="D24" s="43"/>
    </row>
    <row r="25" ht="30.0" customHeight="1">
      <c r="A25" s="40">
        <v>4.0</v>
      </c>
      <c r="B25" s="41" t="s">
        <v>94</v>
      </c>
      <c r="C25" s="58" t="s">
        <v>104</v>
      </c>
      <c r="D25" s="43"/>
    </row>
    <row r="26" ht="30.75" customHeight="1">
      <c r="A26" s="46">
        <v>5.0</v>
      </c>
      <c r="B26" s="47" t="s">
        <v>95</v>
      </c>
      <c r="C26" s="58" t="s">
        <v>104</v>
      </c>
      <c r="D26" s="57"/>
    </row>
    <row r="27" ht="14.25" customHeight="1">
      <c r="A27" s="49" t="s">
        <v>88</v>
      </c>
      <c r="C27" s="22">
        <f>COUNTA('Hoja 2'!$C$22:$C$26)</f>
        <v>5</v>
      </c>
      <c r="D27" s="22">
        <f>COUNTA('Hoja 2'!$D$22:$D$26)</f>
        <v>0</v>
      </c>
    </row>
    <row r="28" ht="14.25" customHeight="1">
      <c r="A28" s="49" t="s">
        <v>89</v>
      </c>
      <c r="C28" s="50">
        <f t="shared" ref="C28:D28" si="2">C27/5</f>
        <v>1</v>
      </c>
      <c r="D28" s="50">
        <f t="shared" si="2"/>
        <v>0</v>
      </c>
    </row>
    <row r="29" ht="14.25" customHeight="1">
      <c r="A29" s="49"/>
      <c r="B29" s="49"/>
      <c r="C29" s="50"/>
      <c r="D29" s="22"/>
    </row>
    <row r="30">
      <c r="A30" s="36" t="s">
        <v>96</v>
      </c>
    </row>
    <row r="31" ht="20.25" customHeight="1">
      <c r="A31" s="53" t="s">
        <v>74</v>
      </c>
      <c r="B31" s="54" t="s">
        <v>75</v>
      </c>
      <c r="C31" s="55" t="s">
        <v>76</v>
      </c>
      <c r="D31" s="56" t="s">
        <v>77</v>
      </c>
    </row>
    <row r="32" ht="29.25" customHeight="1">
      <c r="A32" s="40">
        <v>1.0</v>
      </c>
      <c r="B32" s="41" t="s">
        <v>97</v>
      </c>
      <c r="C32" s="58" t="s">
        <v>104</v>
      </c>
      <c r="D32" s="58"/>
    </row>
    <row r="33" ht="45.75" customHeight="1">
      <c r="A33" s="40">
        <v>2.0</v>
      </c>
      <c r="B33" s="41" t="s">
        <v>98</v>
      </c>
      <c r="C33" s="58"/>
      <c r="D33" s="48" t="s">
        <v>79</v>
      </c>
    </row>
    <row r="34" ht="40.5" customHeight="1">
      <c r="A34" s="46">
        <v>3.0</v>
      </c>
      <c r="B34" s="47" t="s">
        <v>99</v>
      </c>
      <c r="C34" s="58"/>
      <c r="D34" s="48" t="s">
        <v>79</v>
      </c>
    </row>
    <row r="35" ht="14.25" customHeight="1">
      <c r="A35" s="49" t="s">
        <v>88</v>
      </c>
      <c r="C35" s="22">
        <f>COUNTA('Hoja 2'!$C$32:$C$34)</f>
        <v>1</v>
      </c>
      <c r="D35" s="22">
        <f>COUNTA('Hoja 2'!$D$32:$D$34)</f>
        <v>2</v>
      </c>
    </row>
    <row r="36" ht="14.25" customHeight="1">
      <c r="A36" s="49" t="s">
        <v>89</v>
      </c>
      <c r="C36" s="50">
        <f t="shared" ref="C36:D36" si="3">C35/3</f>
        <v>0.3333333333</v>
      </c>
      <c r="D36" s="50">
        <f t="shared" si="3"/>
        <v>0.6666666667</v>
      </c>
    </row>
    <row r="37" ht="14.25" customHeight="1"/>
    <row r="38" ht="14.25" customHeight="1"/>
    <row r="39" ht="14.25" customHeight="1"/>
    <row r="40" ht="14.25" customHeight="1">
      <c r="A40" s="59" t="s">
        <v>100</v>
      </c>
    </row>
    <row r="41" ht="30.0" customHeight="1">
      <c r="B41" s="30" t="s">
        <v>101</v>
      </c>
      <c r="C41" s="22">
        <v>89.0</v>
      </c>
    </row>
    <row r="42" ht="30.0" customHeight="1">
      <c r="B42" s="30" t="s">
        <v>90</v>
      </c>
      <c r="C42" s="22">
        <v>100.0</v>
      </c>
    </row>
    <row r="43" ht="30.0" customHeight="1">
      <c r="B43" s="30" t="s">
        <v>96</v>
      </c>
      <c r="C43" s="60">
        <v>33.0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</sheetData>
  <mergeCells count="14">
    <mergeCell ref="C1:D1"/>
    <mergeCell ref="C2:D2"/>
    <mergeCell ref="C3:D3"/>
    <mergeCell ref="C4:D4"/>
    <mergeCell ref="A6:D6"/>
    <mergeCell ref="A17:B17"/>
    <mergeCell ref="A20:D20"/>
    <mergeCell ref="A18:B18"/>
    <mergeCell ref="A27:B27"/>
    <mergeCell ref="A28:B28"/>
    <mergeCell ref="A30:D30"/>
    <mergeCell ref="A35:B35"/>
    <mergeCell ref="A36:B36"/>
    <mergeCell ref="A40:C40"/>
  </mergeCells>
  <conditionalFormatting sqref="A32:D34">
    <cfRule type="containsText" dxfId="8" priority="1" operator="containsText" text="X">
      <formula>NOT(ISERROR(SEARCH(("X"),(A32))))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C32:D34">
    <cfRule type="containsText" dxfId="9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5.57"/>
    <col customWidth="1" min="4" max="24" width="10.71"/>
  </cols>
  <sheetData>
    <row r="1" ht="14.25" customHeight="1"/>
    <row r="2" ht="14.25" customHeight="1"/>
    <row r="3" ht="14.25" customHeight="1"/>
    <row r="4" ht="14.25" customHeight="1">
      <c r="A4" s="30"/>
      <c r="B4" s="31" t="s">
        <v>1</v>
      </c>
      <c r="C4" s="32" t="s">
        <v>67</v>
      </c>
      <c r="E4" s="30"/>
      <c r="F4" s="30"/>
      <c r="G4" s="30"/>
      <c r="H4" s="30"/>
      <c r="I4" s="30"/>
      <c r="J4" s="30"/>
      <c r="K4" s="30"/>
    </row>
    <row r="5" ht="14.25" customHeight="1">
      <c r="B5" s="33" t="s">
        <v>68</v>
      </c>
      <c r="C5" s="34">
        <v>46126.0</v>
      </c>
    </row>
    <row r="6" ht="14.25" customHeight="1">
      <c r="B6" s="33" t="s">
        <v>69</v>
      </c>
      <c r="C6" s="35" t="s">
        <v>107</v>
      </c>
    </row>
    <row r="7" ht="14.25" customHeight="1">
      <c r="B7" s="33" t="s">
        <v>71</v>
      </c>
      <c r="C7" s="35" t="s">
        <v>108</v>
      </c>
    </row>
    <row r="8" ht="14.25" customHeight="1"/>
    <row r="9" ht="20.25" customHeight="1">
      <c r="A9" s="36" t="s">
        <v>73</v>
      </c>
    </row>
    <row r="10">
      <c r="A10" s="37" t="s">
        <v>74</v>
      </c>
      <c r="B10" s="38" t="s">
        <v>75</v>
      </c>
      <c r="C10" s="38" t="s">
        <v>76</v>
      </c>
      <c r="D10" s="39" t="s">
        <v>77</v>
      </c>
    </row>
    <row r="11" ht="31.5" customHeight="1">
      <c r="A11" s="40">
        <v>1.0</v>
      </c>
      <c r="B11" s="41" t="s">
        <v>78</v>
      </c>
      <c r="C11" s="44" t="s">
        <v>104</v>
      </c>
      <c r="D11" s="43"/>
    </row>
    <row r="12" ht="14.25" customHeight="1">
      <c r="A12" s="40">
        <v>2.0</v>
      </c>
      <c r="B12" s="41" t="s">
        <v>80</v>
      </c>
      <c r="C12" s="44" t="s">
        <v>104</v>
      </c>
      <c r="D12" s="43"/>
    </row>
    <row r="13" ht="14.25" customHeight="1">
      <c r="A13" s="40">
        <v>3.0</v>
      </c>
      <c r="B13" s="41" t="s">
        <v>81</v>
      </c>
      <c r="C13" s="44" t="s">
        <v>104</v>
      </c>
      <c r="D13" s="43"/>
    </row>
    <row r="14" ht="14.25" customHeight="1">
      <c r="A14" s="40">
        <v>4.0</v>
      </c>
      <c r="B14" s="41" t="s">
        <v>82</v>
      </c>
      <c r="C14" s="44" t="s">
        <v>104</v>
      </c>
      <c r="D14" s="43"/>
    </row>
    <row r="15" ht="31.5" customHeight="1">
      <c r="A15" s="40">
        <v>5.0</v>
      </c>
      <c r="B15" s="41" t="s">
        <v>83</v>
      </c>
      <c r="C15" s="48" t="s">
        <v>104</v>
      </c>
      <c r="D15" s="44"/>
    </row>
    <row r="16" ht="14.25" customHeight="1">
      <c r="A16" s="40">
        <v>6.0</v>
      </c>
      <c r="B16" s="41" t="s">
        <v>84</v>
      </c>
      <c r="C16" s="44" t="s">
        <v>104</v>
      </c>
      <c r="D16" s="43"/>
    </row>
    <row r="17" ht="14.25" customHeight="1">
      <c r="A17" s="40">
        <v>7.0</v>
      </c>
      <c r="B17" s="41" t="s">
        <v>85</v>
      </c>
      <c r="C17" s="44" t="s">
        <v>104</v>
      </c>
      <c r="D17" s="43"/>
    </row>
    <row r="18" ht="42.75" customHeight="1">
      <c r="A18" s="40">
        <v>8.0</v>
      </c>
      <c r="B18" s="41" t="s">
        <v>86</v>
      </c>
      <c r="C18" s="42" t="s">
        <v>79</v>
      </c>
      <c r="D18" s="43"/>
    </row>
    <row r="19" ht="70.5" customHeight="1">
      <c r="A19" s="46">
        <v>9.0</v>
      </c>
      <c r="B19" s="47" t="s">
        <v>87</v>
      </c>
      <c r="C19" s="58"/>
      <c r="D19" s="58" t="s">
        <v>104</v>
      </c>
    </row>
    <row r="20" ht="14.25" customHeight="1">
      <c r="A20" s="49" t="s">
        <v>88</v>
      </c>
      <c r="C20" s="22">
        <f>COUNTA(#REF!)</f>
        <v>1</v>
      </c>
      <c r="D20" s="60">
        <v>1.0</v>
      </c>
    </row>
    <row r="21" ht="14.25" customHeight="1">
      <c r="A21" s="49" t="s">
        <v>89</v>
      </c>
      <c r="C21" s="50">
        <f t="shared" ref="C21:D21" si="1">C20/9</f>
        <v>0.1111111111</v>
      </c>
      <c r="D21" s="50">
        <f t="shared" si="1"/>
        <v>0.1111111111</v>
      </c>
    </row>
    <row r="22" ht="14.25" customHeight="1">
      <c r="A22" s="49"/>
      <c r="B22" s="49"/>
      <c r="C22" s="50"/>
      <c r="D22" s="22"/>
    </row>
    <row r="23" ht="31.5" customHeight="1">
      <c r="A23" s="51" t="s">
        <v>90</v>
      </c>
      <c r="B23" s="52"/>
      <c r="C23" s="52"/>
      <c r="D23" s="52"/>
    </row>
    <row r="24">
      <c r="A24" s="53" t="s">
        <v>74</v>
      </c>
      <c r="B24" s="54" t="s">
        <v>75</v>
      </c>
      <c r="C24" s="55" t="s">
        <v>76</v>
      </c>
      <c r="D24" s="56" t="s">
        <v>77</v>
      </c>
    </row>
    <row r="25" ht="27.0" customHeight="1">
      <c r="A25" s="40">
        <v>1.0</v>
      </c>
      <c r="B25" s="41" t="s">
        <v>91</v>
      </c>
      <c r="C25" s="58" t="s">
        <v>104</v>
      </c>
      <c r="D25" s="43"/>
    </row>
    <row r="26" ht="14.25" customHeight="1">
      <c r="A26" s="40">
        <v>2.0</v>
      </c>
      <c r="B26" s="41" t="s">
        <v>92</v>
      </c>
      <c r="C26" s="58" t="s">
        <v>104</v>
      </c>
      <c r="D26" s="43"/>
    </row>
    <row r="27" ht="14.25" customHeight="1">
      <c r="A27" s="40">
        <v>3.0</v>
      </c>
      <c r="B27" s="41" t="s">
        <v>93</v>
      </c>
      <c r="C27" s="58" t="s">
        <v>104</v>
      </c>
      <c r="D27" s="43"/>
    </row>
    <row r="28" ht="14.25" customHeight="1">
      <c r="A28" s="40">
        <v>4.0</v>
      </c>
      <c r="B28" s="41" t="s">
        <v>94</v>
      </c>
      <c r="C28" s="58" t="s">
        <v>104</v>
      </c>
      <c r="D28" s="43"/>
    </row>
    <row r="29" ht="14.25" customHeight="1">
      <c r="A29" s="46">
        <v>5.0</v>
      </c>
      <c r="B29" s="47" t="s">
        <v>95</v>
      </c>
      <c r="C29" s="58" t="s">
        <v>104</v>
      </c>
      <c r="D29" s="57"/>
    </row>
    <row r="30" ht="14.25" customHeight="1">
      <c r="A30" s="49" t="s">
        <v>88</v>
      </c>
      <c r="C30" s="22">
        <f t="shared" ref="C30:D30" si="2">COUNTA(#REF!)</f>
        <v>1</v>
      </c>
      <c r="D30" s="22">
        <f t="shared" si="2"/>
        <v>1</v>
      </c>
    </row>
    <row r="31" ht="14.25" customHeight="1">
      <c r="A31" s="49" t="s">
        <v>89</v>
      </c>
      <c r="C31" s="50">
        <f t="shared" ref="C31:D31" si="3">C30/5</f>
        <v>0.2</v>
      </c>
      <c r="D31" s="50">
        <f t="shared" si="3"/>
        <v>0.2</v>
      </c>
    </row>
    <row r="32" ht="14.25" customHeight="1">
      <c r="A32" s="49"/>
      <c r="B32" s="49"/>
      <c r="C32" s="50"/>
      <c r="D32" s="22"/>
    </row>
    <row r="33">
      <c r="A33" s="36" t="s">
        <v>96</v>
      </c>
    </row>
    <row r="34">
      <c r="A34" s="53" t="s">
        <v>74</v>
      </c>
      <c r="B34" s="54" t="s">
        <v>75</v>
      </c>
      <c r="C34" s="55" t="s">
        <v>76</v>
      </c>
      <c r="D34" s="56" t="s">
        <v>77</v>
      </c>
    </row>
    <row r="35" ht="36.75" customHeight="1">
      <c r="A35" s="40">
        <v>1.0</v>
      </c>
      <c r="B35" s="41" t="s">
        <v>97</v>
      </c>
      <c r="C35" s="58" t="s">
        <v>104</v>
      </c>
      <c r="D35" s="58"/>
    </row>
    <row r="36" ht="41.25" customHeight="1">
      <c r="A36" s="40">
        <v>2.0</v>
      </c>
      <c r="B36" s="41" t="s">
        <v>98</v>
      </c>
      <c r="C36" s="58"/>
      <c r="D36" s="48" t="s">
        <v>79</v>
      </c>
    </row>
    <row r="37" ht="27.75" customHeight="1">
      <c r="A37" s="46">
        <v>3.0</v>
      </c>
      <c r="B37" s="47" t="s">
        <v>99</v>
      </c>
      <c r="C37" s="58"/>
      <c r="D37" s="48" t="s">
        <v>79</v>
      </c>
    </row>
    <row r="38" ht="14.25" customHeight="1">
      <c r="A38" s="49" t="s">
        <v>88</v>
      </c>
      <c r="C38" s="22">
        <f t="shared" ref="C38:D38" si="4">COUNTA(#REF!)</f>
        <v>1</v>
      </c>
      <c r="D38" s="22">
        <f t="shared" si="4"/>
        <v>1</v>
      </c>
    </row>
    <row r="39" ht="14.25" customHeight="1">
      <c r="A39" s="49" t="s">
        <v>89</v>
      </c>
      <c r="C39" s="50">
        <f t="shared" ref="C39:D39" si="5">C38/3</f>
        <v>0.3333333333</v>
      </c>
      <c r="D39" s="50">
        <f t="shared" si="5"/>
        <v>0.3333333333</v>
      </c>
    </row>
    <row r="40" ht="14.25" customHeight="1"/>
    <row r="41" ht="14.25" customHeight="1"/>
    <row r="42" ht="14.25" customHeight="1"/>
    <row r="43" ht="14.25" customHeight="1">
      <c r="A43" s="59" t="s">
        <v>100</v>
      </c>
    </row>
    <row r="44" ht="14.25" customHeight="1">
      <c r="B44" s="30" t="s">
        <v>101</v>
      </c>
      <c r="C44" s="60">
        <v>78.0</v>
      </c>
    </row>
    <row r="45" ht="14.25" customHeight="1">
      <c r="B45" s="30" t="s">
        <v>90</v>
      </c>
      <c r="C45" s="22">
        <v>100.0</v>
      </c>
    </row>
    <row r="46" ht="14.25" customHeight="1">
      <c r="B46" s="30" t="s">
        <v>96</v>
      </c>
      <c r="C46" s="60">
        <v>33.0</v>
      </c>
    </row>
    <row r="47" ht="14.25" customHeight="1">
      <c r="C47" s="22"/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</sheetData>
  <mergeCells count="14">
    <mergeCell ref="C6:D6"/>
    <mergeCell ref="C7:D7"/>
    <mergeCell ref="C5:D5"/>
    <mergeCell ref="A9:D9"/>
    <mergeCell ref="A23:D23"/>
    <mergeCell ref="A33:D33"/>
    <mergeCell ref="C4:D4"/>
    <mergeCell ref="A38:B38"/>
    <mergeCell ref="A39:B39"/>
    <mergeCell ref="A43:C43"/>
    <mergeCell ref="A31:B31"/>
    <mergeCell ref="A30:B30"/>
    <mergeCell ref="A21:B21"/>
    <mergeCell ref="A20:B20"/>
  </mergeCells>
  <conditionalFormatting sqref="A35:D37">
    <cfRule type="containsText" dxfId="8" priority="1" operator="containsText" text="X">
      <formula>NOT(ISERROR(SEARCH(("X"),(A35))))</formula>
    </cfRule>
  </conditionalFormatting>
  <conditionalFormatting sqref="C11:D19 C25:C29 C35:D37">
    <cfRule type="containsText" dxfId="9" priority="2" operator="containsText" text="X">
      <formula>NOT(ISERROR(SEARCH(("X"),(C11))))</formula>
    </cfRule>
  </conditionalFormatting>
  <conditionalFormatting sqref="C11:D19 C25:C29 C35:D37">
    <cfRule type="containsText" dxfId="10" priority="3" operator="containsText" text="X">
      <formula>NOT(ISERROR(SEARCH(("X"),(C11))))</formula>
    </cfRule>
  </conditionalFormatting>
  <conditionalFormatting sqref="C11:D19 C25:C29 C35:D37">
    <cfRule type="containsText" dxfId="11" priority="4" operator="containsText" text="X">
      <formula>NOT(ISERROR(SEARCH(("X"),(C11))))</formula>
    </cfRule>
  </conditionalFormatting>
  <conditionalFormatting sqref="C11:D19 C25:C29 C35:D37">
    <cfRule type="containsText" dxfId="12" priority="5" operator="containsText" text="X">
      <formula>NOT(ISERROR(SEARCH(("X"),(C11))))</formula>
    </cfRule>
  </conditionalFormatting>
  <conditionalFormatting sqref="C35:D37">
    <cfRule type="containsText" dxfId="9" priority="6" operator="containsText" text="X">
      <formula>NOT(ISERROR(SEARCH(("X"),(C35))))</formula>
    </cfRule>
  </conditionalFormatting>
  <conditionalFormatting sqref="C25:D29">
    <cfRule type="containsText" dxfId="9" priority="7" operator="containsText" text="X">
      <formula>NOT(ISERROR(SEARCH(("X"),(C25))))</formula>
    </cfRule>
  </conditionalFormatting>
  <conditionalFormatting sqref="C25:D29">
    <cfRule type="containsText" dxfId="10" priority="8" operator="containsText" text="X">
      <formula>NOT(ISERROR(SEARCH(("X"),(C25))))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1" t="s">
        <v>109</v>
      </c>
      <c r="B1" s="7"/>
    </row>
    <row r="2">
      <c r="A2" s="62" t="s">
        <v>110</v>
      </c>
      <c r="B2" s="63" t="s">
        <v>111</v>
      </c>
    </row>
    <row r="3">
      <c r="A3" s="62" t="s">
        <v>112</v>
      </c>
      <c r="B3" s="63" t="s">
        <v>113</v>
      </c>
    </row>
    <row r="4">
      <c r="A4" s="62" t="s">
        <v>114</v>
      </c>
      <c r="B4" s="63" t="s">
        <v>115</v>
      </c>
    </row>
    <row r="5" ht="14.25" customHeight="1">
      <c r="A5" s="64"/>
      <c r="B5" s="64"/>
    </row>
    <row r="6" ht="14.25" customHeight="1">
      <c r="A6" s="65" t="s">
        <v>116</v>
      </c>
    </row>
    <row r="7" ht="14.25" customHeight="1">
      <c r="A7" s="66" t="s">
        <v>117</v>
      </c>
      <c r="B7" s="66" t="s">
        <v>118</v>
      </c>
      <c r="D7" s="67"/>
    </row>
    <row r="8" ht="64.5" customHeight="1">
      <c r="A8" s="68" t="s">
        <v>119</v>
      </c>
      <c r="B8" s="69" t="s">
        <v>120</v>
      </c>
    </row>
    <row r="9" ht="67.5" customHeight="1">
      <c r="A9" s="70" t="s">
        <v>121</v>
      </c>
      <c r="B9" s="71" t="s">
        <v>122</v>
      </c>
    </row>
    <row r="10" ht="14.25" customHeight="1">
      <c r="A10" s="72"/>
      <c r="B10" s="72"/>
    </row>
    <row r="11" ht="14.25" customHeight="1">
      <c r="A11" s="65" t="s">
        <v>123</v>
      </c>
    </row>
    <row r="12" ht="14.25" customHeight="1">
      <c r="A12" s="66" t="s">
        <v>117</v>
      </c>
      <c r="B12" s="66" t="s">
        <v>118</v>
      </c>
    </row>
    <row r="13" ht="54.0" customHeight="1">
      <c r="A13" s="73" t="s">
        <v>124</v>
      </c>
      <c r="B13" s="71" t="s">
        <v>125</v>
      </c>
    </row>
    <row r="14" ht="54.75" customHeight="1">
      <c r="A14" s="74" t="s">
        <v>126</v>
      </c>
      <c r="B14" s="71" t="s">
        <v>127</v>
      </c>
    </row>
    <row r="15" ht="58.5" customHeight="1">
      <c r="A15" s="75" t="s">
        <v>128</v>
      </c>
      <c r="B15" s="76" t="s">
        <v>129</v>
      </c>
    </row>
    <row r="16" ht="14.25" customHeight="1">
      <c r="A16" s="72"/>
      <c r="B16" s="72"/>
    </row>
    <row r="17" ht="14.25" customHeight="1">
      <c r="A17" s="65" t="s">
        <v>130</v>
      </c>
    </row>
    <row r="18" ht="14.25" customHeight="1">
      <c r="A18" s="66" t="s">
        <v>117</v>
      </c>
      <c r="B18" s="66" t="s">
        <v>118</v>
      </c>
    </row>
    <row r="19" ht="53.25" customHeight="1">
      <c r="A19" s="73" t="s">
        <v>131</v>
      </c>
      <c r="B19" s="71" t="s">
        <v>132</v>
      </c>
    </row>
    <row r="20" ht="42.75" customHeight="1">
      <c r="A20" s="73" t="s">
        <v>133</v>
      </c>
      <c r="B20" s="71" t="s">
        <v>134</v>
      </c>
    </row>
    <row r="21" ht="45.75" customHeight="1">
      <c r="A21" s="62" t="s">
        <v>135</v>
      </c>
      <c r="B21" s="63" t="s">
        <v>136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5">
    <mergeCell ref="A6:B6"/>
    <mergeCell ref="D7:G7"/>
    <mergeCell ref="A11:B11"/>
    <mergeCell ref="A17:B17"/>
    <mergeCell ref="A1:B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2026-04-14T13:46:44Z</dcterms:created>
  <dc:creator>DYNABOOK</dc:creator>
</cp:coreProperties>
</file>